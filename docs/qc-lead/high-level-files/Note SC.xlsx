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3" activeTab="3"/>
  </bookViews>
  <sheets>
    <sheet name="Feature smoke test" sheetId="1" state="hidden" r:id="rId3"/>
    <sheet name="Feature detail" sheetId="2" state="hidden" r:id="rId4"/>
    <sheet name="Client-AI gen" sheetId="3" state="hidden" r:id="rId5"/>
    <sheet name="SC line2"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<sst xmlns="http://schemas.openxmlformats.org/spreadsheetml/2006/main" count="1068" uniqueCount="649">
  <si>
    <t xml:space="preserve">Trading</t>
  </si>
  <si>
    <t xml:space="preserve">Trading chart</t>
  </si>
  <si>
    <t xml:space="preserve">Pool</t>
  </si>
  <si>
    <t xml:space="preserve">- balance
- token list</t>
  </si>
  <si>
    <t xml:space="preserve">Mobile func</t>
  </si>
  <si>
    <t xml:space="preserve">Supported chains.
Base
OP</t>
  </si>
  <si>
    <t xml:space="preserve">WalletConnect
Passkey auxiliary login
LP operation integration</t>
  </si>
  <si>
    <t xml:space="preserve">Do not create a BNZA account
Treat the wallet connection as the account
Passkey is a future auxiliary navigation path
WalletConnect is assumed initially</t>
  </si>
  <si>
    <t xml:space="preserve">Exchange </t>
  </si>
  <si>
    <t xml:space="preserve">LP bot</t>
  </si>
  <si>
    <t xml:space="preserve">Ex bot (làm trong mobi app)</t>
  </si>
  <si>
    <t xml:space="preserve">start bot</t>
  </si>
  <si>
    <t xml:space="preserve">stop bot</t>
  </si>
  <si>
    <t xml:space="preserve">rebalance</t>
  </si>
  <si>
    <t xml:space="preserve">operator (BE api layer)</t>
  </si>
  <si>
    <t xml:space="preserve">swap fee lúc deposit vào pool </t>
  </si>
  <si>
    <t xml:space="preserve">opFee</t>
  </si>
  <si>
    <t xml:space="preserve">PF - performance fee</t>
  </si>
  <si>
    <t xml:space="preserve">Note</t>
  </si>
  <si>
    <t xml:space="preserve">Orderbook/ trade</t>
  </si>
  <si>
    <t xml:space="preserve">rebalance?</t>
  </si>
  <si>
    <t xml:space="preserve">Total assets display</t>
  </si>
  <si>
    <t xml:space="preserve">Liquidity layer</t>
  </si>
  <si>
    <t xml:space="preserve">trading</t>
  </si>
  <si>
    <t xml:space="preserve">add/ remove liquidity/ rebalance range
User → UI → Operator → LPBot → Pool (Uniswap V3)</t>
  </si>
  <si>
    <r>
      <rPr>
        <sz val="11"/>
        <color theme="1"/>
        <rFont val="Times New Roman"/>
        <family val="0"/>
        <charset val="1"/>
      </rPr>
      <t xml:space="preserve">→ Bot chiến lược (strategy layer)
→ Có 2 hành vi:
- LP (thông qua LPBot)
- Short perpetual (thông qua exchange API)
ExBot → Operator → LPBot
ExBot → Operator → LPBot
👉 LPBot KHÔNG tự rebalance theo hedge
👉 Nó chỉ làm theo request từ ExBot
</t>
    </r>
    <r>
      <rPr>
        <sz val="11"/>
        <color rgb="FFFF0000"/>
        <rFont val="Times New Roman"/>
        <family val="0"/>
        <charset val="1"/>
      </rPr>
      <t xml:space="preserve">=&gt; % setiing ở đâu? adjust (cơ chế ntn?) hay hardcode</t>
    </r>
  </si>
  <si>
    <t xml:space="preserve">add liquidity
exbot -&gt; thêm open short</t>
  </si>
  <si>
    <t xml:space="preserve">remove liquidity
exbot -&gt; close short
final PnL</t>
  </si>
  <si>
    <t xml:space="preserve">operator gọi </t>
  </si>
  <si>
    <t xml:space="preserve">Bridge giữa UI / Bot và smart contract 
API bridge</t>
  </si>
  <si>
    <r>
      <rPr>
        <sz val="11"/>
        <color theme="1"/>
        <rFont val="Times New Roman"/>
        <family val="0"/>
        <charset val="1"/>
      </rPr>
      <t xml:space="preserve">deposit vào pool -&gt; trả 1 khoản khi vào treasury - 0.5%
</t>
    </r>
    <r>
      <rPr>
        <sz val="11"/>
        <color rgb="FFFF0000"/>
        <rFont val="Times New Roman"/>
        <family val="0"/>
        <charset val="1"/>
      </rPr>
      <t xml:space="preserve">- là fee thật của AMM?
- hay fee internal của system?</t>
    </r>
  </si>
  <si>
    <t xml:space="preserve">deposit vào pool -&gt; trả 1 khoản khi vào treasury - 0.5%</t>
  </si>
  <si>
    <t xml:space="preserve">trả 1 khoản fee 30% trước khi claim -&gt; 30% khoản earning</t>
  </si>
  <si>
    <t xml:space="preserve">✔ LPBot = executor
✔ ExBot = brain
✔ Operator = bridge</t>
  </si>
  <si>
    <t xml:space="preserve">Market order</t>
  </si>
  <si>
    <t xml:space="preserve">Porfolio
- statistic
- history liquity and earnings
- position and erning 
- fee history</t>
  </si>
  <si>
    <t xml:space="preserve">Liquidity</t>
  </si>
  <si>
    <t xml:space="preserve">
</t>
  </si>
  <si>
    <r>
      <rPr>
        <sz val="11"/>
        <color theme="1"/>
        <rFont val="Times New Roman"/>
        <family val="0"/>
        <charset val="1"/>
      </rPr>
      <t xml:space="preserve">User có 10,000 USDC
</t>
    </r>
    <r>
      <rPr>
        <b val="true"/>
        <sz val="11"/>
        <color theme="1"/>
        <rFont val="Times New Roman"/>
        <family val="0"/>
        <charset val="1"/>
      </rPr>
      <t xml:space="preserve">ExBot chia:
</t>
    </r>
    <r>
      <rPr>
        <sz val="11"/>
        <color theme="1"/>
        <rFont val="Times New Roman"/>
        <family val="0"/>
        <charset val="1"/>
      </rPr>
      <t xml:space="preserve">70% → LP (USDC/WETH)
30% → short ETH perpetual
👉 Nếu ETH giảm:
LP: lỗ
Short: lời
👉 Nếu ETH sideway:
LP: ăn fee
Short: neutral
→ profit ổn định hơn</t>
    </r>
  </si>
  <si>
    <t xml:space="preserve">Add liquity action
- swap nếu cần (zap)
- mint position
- set range</t>
  </si>
  <si>
    <t xml:space="preserve">
Actions:
- remove liquidity
- collect fee</t>
  </si>
  <si>
    <t xml:space="preserve">
action 
- remove liquidity
- add lại với range mới
exbot -&gt; adjust short</t>
  </si>
  <si>
    <t xml:space="preserve">LPBot chỉ gọi qua đây (KHÔNG gọi trực tiếp contract)</t>
  </si>
  <si>
    <t xml:space="preserve">limit order</t>
  </si>
  <si>
    <t xml:space="preserve">Pair
- Top APR
-  trading volumn
- select pair</t>
  </si>
  <si>
    <t xml:space="preserve">Revenue</t>
  </si>
  <si>
    <t xml:space="preserve">Quản lý lifecycle của LP Bot (start / rebalance / collect / stop)
Tự động hóa thông qua cron + rule engine
Kết nối on-chain (Uniswap V3) với hệ thống backend
Ghi nhận fee &amp; phân phối reward (PF/opFee)
Điều phối relayer để thực thi transaction</t>
  </si>
  <si>
    <t xml:space="preserve">Pro</t>
  </si>
  <si>
    <t xml:space="preserve">Position
- Liquidity
- Uncollected fee</t>
  </si>
  <si>
    <t xml:space="preserve">Bot</t>
  </si>
  <si>
    <t xml:space="preserve">Bot operational status
Start / Stop
Deposit amount
APR
Current position
Risk level
Uncollected revenue
Cumulative revenue</t>
  </si>
  <si>
    <t xml:space="preserve">Account overview
- fee/ Pnl/ levarage/ margin ....</t>
  </si>
  <si>
    <t xml:space="preserve">AI bot
- LP bot
- Ex bot
- AI pro
- Receive currency
- Investment</t>
  </si>
  <si>
    <t xml:space="preserve">Position</t>
  </si>
  <si>
    <t xml:space="preserve">History</t>
  </si>
  <si>
    <t xml:space="preserve">- Language
- theme</t>
  </si>
  <si>
    <t xml:space="preserve">Notification</t>
  </si>
  <si>
    <t xml:space="preserve">Bz bot</t>
  </si>
  <si>
    <t xml:space="preserve">Claim</t>
  </si>
  <si>
    <t xml:space="preserve">Uncollected
</t>
  </si>
  <si>
    <t xml:space="preserve">Earning
- deposit
- withdraw
- brigde
- history</t>
  </si>
  <si>
    <t xml:space="preserve">earning?</t>
  </si>
  <si>
    <t xml:space="preserve">Discard existing mock, rebuild from scratch
Choose tech stack
Implement EXBOT-specific flow (HL agent key approval, CCTP bridge, etc.)
WL identification via referral code
WL logo dynamic display (from ADMIN E's wl_partners table)
5-language i18n
PWA optimization</t>
  </si>
  <si>
    <t xml:space="preserve">Fix bug milestone 1</t>
  </si>
  <si>
    <t xml:space="preserve">Critical hotfixes merged:
 WETH bug fix
 executeRebalanceAction fix
 recalc WHERE clause fix
 P0-F.0 (priority 0, feature 0)
 EX environment fixed</t>
  </si>
  <si>
    <t xml:space="preserve">MOBILE Rebuild (2 FE engineers) - milestone 2</t>
  </si>
  <si>
    <t xml:space="preserve"> PWA setup (Vite + React 19)
 WL gate implementation (partner branding, login)
 EXBOT flow (deposit, bot management, earnings)
 i18n setup (multi-language support)
 Mobile-optimized UI (dark-fixed design system)
 Unit tests (80%+ coverage)
 E2E tests (critical flows)</t>
  </si>
  <si>
    <t xml:space="preserve">WL gate (partner branding, login)
EXBOT flow (deposit, bot management, earnings)
Mobile-optimized UI
Dark-fixed design system
Multi-language support
Supported Chains: Optimism, Base, Arbitrum</t>
  </si>
  <si>
    <t xml:space="preserve">ADMIN Dashboard (1 FE engineer
</t>
  </si>
  <si>
    <t xml:space="preserve"> E: WL Management — Partner onboarding, earnings tracking, payout history
 G: PF Distribution — Daily performance fee distribution, remittance to WL wallets
 I: Bot Type Configuration — Deposit tiers, strategy parameters, limits</t>
  </si>
  <si>
    <t xml:space="preserve">External Dependencies</t>
  </si>
  <si>
    <t xml:space="preserve">Hyperliquid: API availability, rate limits, testnet access
Uniswap V3: Smart contract availability, liquidity
The Graph: Subgraph availability, query performance
Cloudflare: Workers, D1, Queues, DO availability
Vercel: Deployment availability, performance
Internal Dependencies
EXBOT Phase 0 → EXBOT Phase A1 (zen's backtest must complete)
OPERATOR SPEC → EXBOT infra implementation (SOTATEK)
MOBILE rebuild → WL launch (critical path)
ADMIN dashboard → WL launch (critical path)
Staging environment → Integration testing (critical path)</t>
  </si>
  <si>
    <t xml:space="preserve">BNZA-OPERATOR</t>
  </si>
  <si>
    <t xml:space="preserve">Main features:
Automated rebalance — reset the position range based on AI determination
Automated fee collection — execute collectWithFee / collectForUser via ROUTER
Automated reinvestment (compound) — reinvest the collected fees
EX hedge adjustment — adjust the Hyperliquid short amount according to the amount of ETH in the LP
USDC delivery — send the remaining amount to the user after PF collection
PF distribution — send to multiple wallets according to the distribution recipient table (up to 10 recipients, is_remainder flag)</t>
  </si>
  <si>
    <t xml:space="preserve">POOL</t>
  </si>
  <si>
    <t xml:space="preserve">Authentication &amp; Wallet</t>
  </si>
  <si>
    <t xml:space="preserve">Mainnet, OP, Base, Arbitrum (+ testnet OP/Base Sepolia) </t>
  </si>
  <si>
    <t xml:space="preserve">Dashboard &amp; Portfolio</t>
  </si>
  <si>
    <t xml:space="preserve">Portfolio summary: total value, earned fees, P&amp;L (positions widget = Subgraph, broken on testnet)
Earnings trend chart 15/30/90 days (Recharts Area) — Operator ✅
Position data table with sort+paginate (position-data-table.tsx) — Subgraph ❌
Fee collection history 15/page (useOperatorFeeCollections) — Operator ✅
Portfolio sidebar (chain stats, position stats)</t>
  </si>
  <si>
    <t xml:space="preserve">Bot Management </t>
  </si>
  <si>
    <t xml:space="preserve">Create bot with plan Stable/Aggressive (components/bot/bot-page.tsx, 1700+ lines)
Bot start flow in 8 steps: WETH wrap → approve → zapMint → atomic-start register
Bot stop with integrated close position (useStopBot)
Bot status tracking (idle/running/error) — useOperatorBotConfig
Rebalance cooldown configurable 10-180 min (migration 0009)
Plan specs versioning (immutable snapshot)
Identify bot-managed positions (useBotManagedPositions)
⚠️ Pool fee tier hardcoded (POOL_FEE const), no UI selector
⚠️ Min TVL hardcoded ($10 after edit, default $1000 on mainnet)</t>
  </si>
  <si>
    <t xml:space="preserve">Position Management</t>
  </si>
  <si>
    <t xml:space="preserve">Position listing + filter by token, NFT gallery (components/positions/positions-page.tsx)
Position detail + range bar visualization (position-detail-page.tsx)
NFT card with pool metadata (nft-card.tsx)
Position history: txs + rebalance events (usePositionHistory)
Unclaimed fees + claimed fees history</t>
  </si>
  <si>
    <t xml:space="preserve">Liquidity Operations (within position detail)</t>
  </si>
  <si>
    <t xml:space="preserve">Add liquidity panel with optimal swap fraction (add-liquidity-panel.tsx)
calcOptimalSwapFraction from Uniswap V3 math
Token approval + balance management (use-token-balances)
IncreaseLiquidity event parsing
Manual liquidity management alongside bot</t>
  </si>
  <si>
    <t xml:space="preserve">Fee Collection (within position detail)</t>
  </si>
  <si>
    <t xml:space="preserve">Claim fees panel (claim-fees-panel.tsx)
On-demand + scheduled (UTC hour selection)
Fee conversion: keep pair or convert to USDC
Fee cascade tracking: collectFee 0.5%, PF 30%, swapFee 0.3%
Router fee simulation before execute</t>
  </si>
  <si>
    <t xml:space="preserve">Position Closure (within position detail)
</t>
  </si>
  <si>
    <t xml:space="preserve">Close panel supports both manual + bot-managed (close-position-panel.tsx)
Slippage config + token return selection
BNZA Router integration: closeForSelf + fee optimization
Principal/fees split with range bar
Transaction hash tracking + explorer link
Position registration error handling (fatal vs retryable)</t>
  </si>
  <si>
    <t xml:space="preserve">Auto-Rebalance (within position detail)
</t>
  </si>
  <si>
    <t xml:space="preserve">Rebalance history view (auto-rebalance-panel.tsx)
Rebalance execution log with tx hashes
Cooldown timer display
Manual rebalance trigger override</t>
  </si>
  <si>
    <t xml:space="preserve">Rule Engine (IF-THEN) </t>
  </si>
  <si>
    <t xml:space="preserve">Rule wizard with 3 templates: ETH-guard, auto-compound, OOR-rebalance (rule-create-wizard.tsx, 1200+ lines)
Condition builder: pool, fee tier, range, price thresholds, IL alerts
Actions: close, claim, rebalance, auto-compound
Activation toggle + cooldown config (anti-spam)
Backend sync (useOperatorRules) + localStorage fallback</t>
  </si>
  <si>
    <t xml:space="preserve">Pool Discovery </t>
  </si>
  <si>
    <t xml:space="preserve">Pool list sorted by TVL/APR (pools-page.tsx)
Filter by chain + pair type (all/favorites/high-APR/stablecoins)
Pool favorites (localStorage) — usePoolFavorites
Pool detail panel + APR calculation + history (usePoolAPRs, usePoolHistory)
Chain volume aggregation (useChainVolume)
Subgraph integration (fallback mock data) — lib/subgraph.ts</t>
  </si>
  <si>
    <t xml:space="preserve">Earnings &amp; Analytics (dashboard tab)
</t>
  </si>
  <si>
    <t xml:space="preserve">Daily/monthly earnings breakdown (useEarnings, useMonthlyEarnings)
IL calculator + sensitivity analysis (lib/il-calculator.ts)
Hedge recommendation engine (calculateHedgeRecommendation)
ROI metrics (APR unified to ROI per CLAUDE.md)</t>
  </si>
  <si>
    <t xml:space="preserve">On-Chain Data Layer
</t>
  </si>
  <si>
    <t xml:space="preserve">Direct position reads via NonfungiblePositionManager (lib/onchain-position.ts)
Pool slot0() for current price (getPoolAddressFromTokens via Factory)
Unclaimed fee simulation (collect simulate)
Server-side + client-side RPC split (Alchemy)</t>
  </si>
  <si>
    <t xml:space="preserve">Internationalization</t>
  </si>
  <si>
    <t xml:space="preserve">5 languages: en/ja/zh/ko/vi
LP page fixed English, dashboard+ has i18n</t>
  </si>
  <si>
    <t xml:space="preserve">Settings &amp; Account</t>
  </si>
  <si>
    <t xml:space="preserve">API key management UI (settings-page.tsx)
Rules management from settings</t>
  </si>
  <si>
    <t xml:space="preserve">EX</t>
  </si>
  <si>
    <t xml:space="preserve">Trading Interface
</t>
  </si>
  <si>
    <t xml:space="preserve">Order Entry Panel: Market + Limit (OrderEntryPanel.jsx)
Real-time balances, leverage calc, available USDC, maker/taker fee tier
Order Book L2 from HL WebSocket (OrderBookPanel.jsx)
Bid/ask spread display, clickable rows fill limit price
Market Info Bar: live price, 24h change, volume, market cap (MarketInfoPanel.jsx)
TradingView Lightweight Widget (ChartPanel.jsx) — multi-language en/ja/zh/ko/vi
Market Selector: 100+ perps + 54 RWA (MarketSelector.jsx)
Search, tabs (all/perps/rwa/trending/favorites), keyboard nav</t>
  </si>
  <si>
    <t xml:space="preserve">Order Management
</t>
  </si>
  <si>
    <t xml:space="preserve">Order Execution (services/hyperliquid/orderExecution.js)
Place market/limit via agent wallet (no popup after setup)
Builder fee auto 50 bps (BNZA_BUILDER_MVP 0x462F0e7b...)
Cancel open orders per symbol (BalancesPanel.jsx)
Market close position with 3% slippage buffer, side-aware
Local Order Ledger (state/localOrderLedger.js)
In-memory, status tracking (pending_submit/pending_open/partial/filled/cancelled/rejected)
CLOID generation (UUID v4)</t>
  </si>
  <si>
    <t xml:space="preserve">Portfolio (6 tabs)
</t>
  </si>
  <si>
    <t xml:space="preserve">Page: pages/PortfolioPage.jsx with star background animation
Balances: Account value, withdrawable USDC, cross-margin ratio, maintenance margin
Positions: Active positions, mark price, entry, size, PnL, leveraged margin
Trades: Execution history (time, price, size, fee, PnL) — paginated
Orders: Order history with status, CLOID, time — paginated
Funding: Funding payments history — paginated
Deposits: On-chain ledger updates — paginated
Summary Cards: account value, unrealized PnL, 14d volume, fees, sparkline
PnL Chart (Recharts) over time</t>
  </si>
  <si>
    <t xml:space="preserve">Account &amp; Balance
</t>
  </si>
  <si>
    <t xml:space="preserve">Balance polling 10s interval (skip when tab hidden, immediate on visibility change)
Unified Account: spot + perp merged (HIP-3 support, spot USDC as withdrawable)
User Fees cached 60s TTL (maker/taker display)
Cross-margin ratio + maintenance margin + cross-account leverage</t>
  </si>
  <si>
    <t xml:space="preserve">Wallet Integration
</t>
  </si>
  <si>
    <t xml:space="preserve">Reown AppKit (Arbitrum mainnet) — config/reown.js
Agent Wallet (W1) — services/hyperliquid/hlAgentWallet.js
Browser-resident, L1 signature without MetaMask popups after initial approval
Builder Fee Approval — hlBuilderApproval.js
EIP712 signature, one-time per wallet
EIP1193 raw eth_signTypedData_v4 — hlEip1193Sign.js</t>
  </si>
  <si>
    <t xml:space="preserve">Market Data Streaming
</t>
  </si>
  <si>
    <t xml:space="preserve">WebSocket Subscriptions (services/hyperliquid/ws.js):
l2Book, activeAssetCtx, trades, userFills, order updates per coin
Market Registry load on-app-boot (marketRegistry.js)
HL metaAndAssetCtxs API → dynamic perp + RWA list
Market Data Normalization (marketData.js) — price format, spread, mid-price
Trade History: 150 recent trades per market (trades.js)
Clearinghouse State normalization (clearinghouse.js)</t>
  </si>
  <si>
    <t xml:space="preserve">REST Polling Services
</t>
  </si>
  <si>
    <t xml:space="preserve">Portfolio history (portfolioHistory.js) — 30s snapshots
User Fills (userFills.js)
User Funding (userFunding.js) — 60s cache
User Ledger (userLedger.js) — 60s cache (deposit/withdraw)</t>
  </si>
  <si>
    <t xml:space="preserve">Layout &amp; Navigation
</t>
  </si>
  <si>
    <t xml:space="preserve">Trade Header with language switcher, settings, wallet dropdown
4-panel grid (chart, orderbook, order entry, balances) + portfolio modal
View switching: Trade / Bots (Coming Soon) / Portfolio</t>
  </si>
  <si>
    <t xml:space="preserve">Misc</t>
  </si>
  <si>
    <r>
      <rPr>
        <sz val="11"/>
        <color theme="1"/>
        <rFont val="Arial"/>
        <family val="0"/>
        <charset val="1"/>
      </rPr>
      <t xml:space="preserve">i18n 5 languages (en/ja/zh/ko/vi) — context/LanguageContext.jsx
Error Boundary (AppErrorBoundary.jsx)
DEV logging for stale messages + channel health
</t>
    </r>
    <r>
      <rPr>
        <sz val="11"/>
        <color rgb="FFFF0000"/>
        <rFont val="Arial"/>
        <family val="0"/>
        <charset val="1"/>
      </rPr>
      <t xml:space="preserve">Coming Soon: BZ_Bot (BotsPlaceholder.jsx)
</t>
    </r>
    <r>
      <rPr>
        <sz val="11"/>
        <color theme="1"/>
        <rFont val="Arial"/>
        <family val="0"/>
        <charset val="1"/>
      </rPr>
      <t xml:space="preserve">TradingView Charting Library upgrade path (tradingview/chartAdapter.js)</t>
    </r>
  </si>
  <si>
    <t xml:space="preserve">BNZA-OPERATOR (api.bnza.io) — Backend Automation</t>
  </si>
  <si>
    <t xml:space="preserve">Stack: Cloudflare Workers + Hono + TypeScript + D1 + Queues + Durable Objects + KV + R2 Status: ✅ Production (Phase P0-A → P0-E complete) Path: bnza-operator/
Core Infrastructure
D1 SQLite bnza-operator-db (22 migrations, 16+ tables)
3 Cloudflare Queues + DLQ: daily-collect, bot-check, rule-check
2 Durable Objects: RelayerLockDO, PoolStateRefreshDO
KV: POOL_STATE_KV
Multi-chain: OP (10), Base (8453), Arbitrum (42161) on mainnet; OP Sepolia (11155420), Base Sepolia (84532) on testnet
CORS: pool.bnza.io, ex.bnza.io, ops.bnza.io, localhost (+ dev-*.bnza.sotatek.works after patch)
Health check: GET /
Authentication &amp; Access Control
RBAC: super_admin &gt; admin &gt; viewer
Public APIs (no auth):
GET /api/access/check?wallet= — whitelist pre-launch check
GET /api/public-config/plan-specs[/:version]
Admin wallet CRUD:
GET/POST/DELETE /api/admin-wallets (no self-delete)
GET /api/me — current role + label
Whitelist: GET/POST/DELETE /api/allowed-addresses
Blacklist: GET/POST/DELETE /api/blocked-addresses (reason: ofac/abuse/manual)
System Configuration
GET/PUT /api/system-config[/:key]
Key flags: global_bot_enabled, maintenance_mode, access_mode, relayer_min_balance_eth, min_collect_threshold_usd, MIN_TVL_USD, PARALLEL_READ_LIMIT
Plan Specs Management
GET /api/plan-specs/history
POST /api/plan-specs/new-version (super_admin, atomic deactivate-old + create-new)
Schema v4 nested: {lpBot: {rangeWidth, rebalanceCooldownMinutes}, exBot: null, aiPro: null}
Bot Lifecycle API
GET /api/bot-configs[/all|/:id] (self or admin)
POST /api/bot-configs/atomic-start — atomic INSERT + onchain token order validation
POST /api/bot-configs/:id/stop (user)
POST /api/bot-configs/:id/force-stop (admin)
GET/POST /api/bot-positions — lineage tracking (parent_position_id, lineage_root_id, lineage_started_at)
Idempotent: duplicate POST returns existing position_id (migration 0012 partial unique index)
POST /api/positions/:tokenId/close-notify — manual close hook
Cron Automation
Every 5 minutes (*/5 * * * *):
bot-checker:
Phase A: parallel RPC @ 30 concurrent (p-limit)
Phase B: serial TX fire via Multi-Relayer pool
Range check → rebalance, accumulated fees → collect, liquidity=0 → close
Skip if pending bot_operation exists
Inherits lineage on rebalance
rule-checker:
Evaluate active rules (is_active=1)
Condition types: out_of_range, fee_above (extensible)
Execution: 'notify' (INSERT notifications) or 'auto' (INSERT bot_operations + TX)
Cooldown: last_triggered_at + cooldown_seconds
orphan-cleanup — hourly (minute &lt; 5 only)
Rolls back incomplete atomic-start bots
Daily 00:01 UTC (1 0 * * *):
daily-collector:
Collects fees from all running bots
Anti-double-collect: check last_daily_collect_at vs UTC
Convert USDC or PAIR delivery
Queue Processing (Stage 2c)
max_batch_size=100, max_batch_timeout=30s, max_concurrency=1, max_retries=3
Backoff differs per queue:
daily: 5min/30min/1h
bot: 1min/5min/15min
rule: 5min/15min/30min
Fee &amp; Reward Management
GET /api/fee-collections — filter by occasion: daily_auto / rebalance / user_stop / user_collect / manual / manual_close
Records: user_received_usd, opfee_usd, pf_usd, eth_price_usd, received_currency (USDC/WETH/PAIR)
Atomic recordFeeCollection() helper (single source)
GET/POST/PUT /api/fee-distributions — PF recipients (max 10 active, exactly 1 is_remainder=1)
GET /api/daily-snapshots/summary|/latest
User &amp; Rules
GET/PUT /api/users/me (preferred_language en/ja/zh/ko/vi, notification_enabled)
GET /api/users/:wallet (admin override)
GET/POST/PUT/DELETE /api/rules — max 5 per position, chains 10/8453 only
GET /api/notifications[/unread-count], PUT /api/notifications/read-all
Relayer Management
HD Wallet pool: 24-word BIP39 mnemonic → 50 derived accounts × 2 chains = 100 wallets
BIP44 path m/44'/60'/0'/0/{0-49} (MetaMask compatible)
Selection: bot_id % 50 or position_id % 50 (consistent nonce)
Fallback: single RELAYER_PRIVATE_KEY (legacy)
GET /api/relayer-wallets[/alerts] (low balance)
POST/PUT /api/relayer-wallets
Monitoring
GET /api/bot-operations[/all]
Filter: operation_type, status, chain_id, search (wallet_address/tx_hash)
Pagination: page, limit (max 100)
24h metrics: total_ops, success_count, total_gas_cost
On-Chain Integration
LPBOT v1.2 ABI: rebalanceBot, dailyCollectBot
Router collectForUser
Event parsing: CollectWithFee, ERC20 Transfer, BotRebalanced, DailyCollectExecuted
Pool metadata validator (dynamic Factory resolve + token order correction)
Swap slippage: 100 bps default
Position math: Uniswap V3 Position.fromAmounts for rebalance sizing
Architectural Patterns
atomic-start validator
Idempotency on duplicate POST
recordFeeCollection() — single fee path
Ownership middleware (checkOwnership)
X-Wallet-Address header auth
onchain-truth primacy: user_received_usd from receipt Transfer event</t>
  </si>
  <si>
    <t xml:space="preserve">BNZA-LPBOT (Solidity v1.2)</t>
  </si>
  <si>
    <t xml:space="preserve">Stack: Solidity 0.8.20 + Foundry + OpenZeppelin Status: ✅ Deployed OP + Base (mainnet); ✅ Deployed OP Sepolia + Base Sepolia (testnet) Path: bnza-lpbot/
Bot Lifecycle
startBot(StartBotParams) — user opens, calls Router.zapMintFor, stores state (owner, tokenId, convertToUsdc, autoCompound). Emits BotStarted
stopBot(tokenId, ...) — user stops, calls Router.closeForUser, deletes state. Pause-resistant. Emits BotStopped
rebalanceBot(RebalanceParams) — operator only, 15-min cooldown, migrates tokenId. Emits BotRebalanced
dailyCollectBot(tokenId) — operator only, calls Router.collectForUser. Emits DailyCollectExecuted
Authorization
addAuthorizedOperator(address) / removeAuthorizedOperator(address) — owner only
pause() / unpause() — owner only (stopBot still works)
setMinRebalanceInterval(uint256) — default 900s (15 min)
transferOwnership(address) — owner only
View Functions
getBot(tokenId) → full Bot struct
isBot(tokenId), isAuthorizedOperator(addr), isBotOwner(tokenId, addr)
Modifiers
onlyOwner, whenNotPaused, nonReentrant
Events
BotStarted | BotStopped | BotRebalanced | DailyCollectExecuted | AuthorizedOperatorAdded | AuthorizedOperatorRemoved | Paused | Unpaused | MinRebalanceIntervalUpdated | OwnershipTransferred
Deployed Addresses
Mainnet:
Optimism: 0xeFA6036307bb4A781bdB27e4Cbf314c9386F9572
Base: 0xAA42Bb3408Af361013352998FB6A046A790DA814
Testnet:
OP Sepolia: 0x82f113b47bDbC2a8c164345123b78d1DFFa361cF
Base Sepolia: 0x82f113b47bDbC2a8c164345123b78d1DFFa361cF</t>
  </si>
  <si>
    <t xml:space="preserve">BNZA-ROUTER (Solidity v2.2.2-fix-2)</t>
  </si>
  <si>
    <t xml:space="preserve">Stack: Solidity 0.8.20 + Foundry (wraps Uniswap V3 NPM + SwapRouter02) Status: ✅ Deployed OP + Base (mainnet); ✅ Deployed OP Sepolia + Base Sepolia (testnet) Path: bnza-router/
User Functions
zapMint(...) — create position from single token, accepts ETH native via msg.value, deducts swap fee → treasury. Emits ZapMint
zapAddLiquidity(...) — add liquidity to existing position. Emits ZapAddLiquidity
collectForSelf(tokenId, convertToUsdc) — collect fees, optional swap → USDC, deducts collect fee + PF. Emits CollectWithFee
compoundForSelf(tokenId, slippageBps) — collect + reinvest pair (no swap). Emits CompoundWithFee
closeForSelf(tokenId, liquidityToRemove, ...) — withdraw partial/full (0 = close all), principal as pair (WETH unwrap to ETH), pause-resistant. Emits ClosePosition
Operator Functions (Bot Path)
zapMintFor(user, ...) — operator creates position for user (ERC20 only). Emits ZapMintFor
zapAddLiquidityFor(user, ...) — Emits ZapAddLiquidityFor
collectForUser(tokenId, user, convertToUsdc) — Emits CollectWithFee
compoundWithFee(tokenId, user, slippageBps) — Emits CompoundWithFee
closeForUser(user, tokenId, ...) — pause-resistant. Emits CloseForUser
rebalanceForBot(user, tokenId, ...) — atomic close-old + mint-new, reads pool sqrtPrice on-chain, validates pool token0/token1/fee. Emits RebalanceForBot + CollectWithFee
Fee Configuration (Owner Only)
Setter	Default	Cap
setSwapFeeBps	50 (0.5%)	500 (5%)
setCollectFeeBps	50 (0.5%)	500
setPfBps (performance fee)	3000 (30%)	5000 (50%)
setOpFeeBps	50 (0.5%)	500
setMinEarnedForFees	1_000_000 ($1 USDC)	—
setRebalanceSlippageBps	500 (5%)	1000 (10%)
Governance
addOperator(address) / removeOperator(address)
setTreasury(address), setPfCollector(address)
transferOwnership(address)
pause() / unpause() (close functions still work)
emergencyWithdraw(token, amount)
Modifiers
onlyOwner, onlyOperator, whenNotPaused, nonReentrant
Events
ZapMint | ZapAddLiquidity | CollectWithFee | CompoundWithFee | ClosePosition | ZapMintFor | ZapAddLiquidityFor | CloseForUser | RebalanceForBot | OperatorAdded | OperatorRemoved | Paused | Unpaused | FeesUpdated | OpFeeBpsUpdated | MinEarnedForFeesUpdated | RebalanceSlippageBpsUpdated | OwnershipTransferred
Deployed Addresses
Mainnet:
Optimism: 0xe4E873DCef553dAb821B03a3caC36B84C5f16B8D
Base: 0xc70cDE10aE7b7630FBF0778D23A04a84B8f82130
Testnet:
OP Sepolia: 0x9bc71904ED6C512C2F12e72796cF5185CF6C4E86
Base Sepolia: 0x9bc71904ED6C512C2F12e72796cF5185CF6C4E86
</t>
  </si>
  <si>
    <t xml:space="preserve">BNZA Token (ERC-20)</t>
  </si>
  <si>
    <t xml:space="preserve">Stack: Solidity 0.8.20 + Foundry + OpenZeppelin Status: ✅ Deployed Base Mainnet; ✅ Deployed OP Sepolia + Base Sepolia (testnet) Path: bnza-contracts/
Properties
Name: Bonanza
Symbol: BNZA
Decimals: 18
Max supply: 10,000,000,000
Features: ERC-20Pausable, ERC-20Burnable, AccessControl
Roles: DEFAULT_ADMIN_ROLE, MINTER_ROLE, PAUSER_ROLE, BURNER_ROLE
Deployed Addresses
Base Mainnet: 0x9B15D9357A1E28372997C4Fdaf07E2e4a637bF92
OP Sepolia: 0xeA99a238d6401Bc9aB866f9AA64959489897ABEC
Base Sepolia: 0xeA99a238d6401Bc9aB866f9AA64959489897ABEC</t>
  </si>
  <si>
    <t xml:space="preserve">BNZA-ADMIN (ops.bnza.io)</t>
  </si>
  <si>
    <t xml:space="preserve">Stack: React 19 + Vite 8 + TypeScript 6 + Tailwind 4 + shadcn/ui + react-router-dom 7 Status: 🟡 Step 8-5.7 complete (6/19 pages real API, rest mock) Path: bnza-admin/
Real (✅) — Connected to live API
Route        Feature
/        Login (Reown + role check via /api/me)
/dashboard        (chart/stats still mock, layout in place)
/users        User list + metrics from /api/users
/bots        Bot list + force-stop, client-side filter/sort/paginate
/plans        Plan specs CRUD + 3-schema diff viewer (legacy/flat/nested)
/logs        Bot operations log + 24h metrics + 6 type tabs
/access        Whitelist + Blacklist + Access Mode toggle
Mock (🔸) — UI in place, not yet wired to API
Route        Feature        TODO
/dashboard        Stats + chart + recent ops        D1 aggregation or KV cache
/fee-distribution        PF recipients (add/edit/delete/simulate)        Wire /api/fee-distributions
/whitelabel        WL partners table        API + D1 wl_partners table
/system        System config form        Wire POST /api/system-config/:key
/relayer        Relayer wallets balance        API + on-chain balance fetch
/reports        PF chart + CSV export        Aggregation API
/ib        IB partners        API + D1 table
/builder-fee        Static        EX integration
/burn, /supply, /vesting, /treasury        Token management        Post-launch (Phase 3+)
Tech notes
i18n: 2 languages EN + JA only (different from POOL/EX which support 5)
Deploy: Cloudflare Pages (in-repo .vercel/ legacy, ignore)
Wallet: Reown AppKit (same project ID 097df9ea)</t>
  </si>
  <si>
    <t xml:space="preserve">BNZA-EXBOT (Spec only, no code yet)</t>
  </si>
  <si>
    <t xml:space="preserve">Stack: CF Workers + D1 + DO + Queue (planned) Status: 📋 SPEC v5.2.5 Final Approved, Phase 0 ready Path: bnza-exbot/docs/SPEC_v5.2.5.md (4,741 lines, in Japanese)
Spec content (planned features)
Automated LP + Hedge: Uniswap V3 LP fee + Hyperliquid 70% short hedge (3x isolated)
6 queues: bot-scan, light-check, hedge-sync, reconcile, deep-audit, stop-audit
3 Durable Objects: UserLockDO (lease-based), HLRateLimitDO, MarketDataDO
New contract: BnzaExVault (LP NFT custody, does NOT modify existing BnzaRouter/LpBot)
Envelope encryption for HL agent keys (Cloudflare Secrets Store)
SAFE_MODE when HL API errors / margin critical / stop trigger stuck
D1 schema: 10 new tables (hl_agent_keys, hedge_positions, circuit_breakers, stop_triggers, etc.)
Roadmap
Phase 0 (4-6 weeks): Backtest + PositionAmountCalculator + HL testnet
Phase A1 (3-4 weeks): Single-user dry-run, $0
Phase A2 (3-4 weeks): Live $1k from zen
Phase A3 (4 weeks): Closed beta 5-10 WL users
Total Phase 0+A: 14-18 weeks
Ownership Split
zen (private): PositionAmountCalculator, Hedge math, Stop strategy
SOTATEK: D1 schema, Queue topology, DO, Cron, HyperliquidAdapter infra, BnzaExVault, Envelope encryption</t>
  </si>
  <si>
    <t xml:space="preserve">BNZA-MOBILE (Not started)</t>
  </si>
  <si>
    <t xml:space="preserve">Status: ❌ Old mock discarded, SOTATEK rebuilding from scratch Reference: bnza-docs/en/modules/mobile/SPEC.md (v0.1, 370 lines)
Planned (per task list)
PWA shell with safe-area support (mobile-only, no PC)
Reown AppKit (same project ID)
WL identification via referral code (URL query / QR code)
Dynamic WL logo display (fetch from wl_partners)
Fixed-amount deposit UX (per-WL: $1k/$5k/$10k)
EXBOT-only flows: start (wallet connect → USDC → HL agent key approval → CCTP margin → start), stop, status
HL margin warning / critical / SAFE_MODE notification UI
5 languages (en/ja/zh/ko/vi)
Constraint
Mobile supports EXBOT only, NOT LPBOT or AI Pro
Web (POOL) is where user selects bot type, Mobile has no selection UI</t>
  </si>
  <si>
    <t xml:space="preserve">Module</t>
  </si>
  <si>
    <t xml:space="preserve">Feature #</t>
  </si>
  <si>
    <t xml:space="preserve">Feature Name</t>
  </si>
  <si>
    <t xml:space="preserve">Status</t>
  </si>
  <si>
    <t xml:space="preserve">Cơ chế hoạt động</t>
  </si>
  <si>
    <t xml:space="preserve">Ví dụ</t>
  </si>
  <si>
    <t xml:space="preserve">Site/Platform</t>
  </si>
  <si>
    <t xml:space="preserve">URL/Deploy</t>
  </si>
  <si>
    <t xml:space="preserve">Stack</t>
  </si>
  <si>
    <t xml:space="preserve">Chain</t>
  </si>
  <si>
    <t xml:space="preserve">Nguồn thông tin</t>
  </si>
  <si>
    <t xml:space="preserve">BNZA-POOL</t>
  </si>
  <si>
    <t xml:space="preserve">LP Position Management</t>
  </si>
  <si>
    <t xml:space="preserve">✅ Production</t>
  </si>
  <si>
    <t xml:space="preserve">Hiển thị tất cả Uniswap V3 LP positions của user qua Subgraph + onchain reads (NonfungiblePositionManager + Pool.slot0)</t>
  </si>
  <si>
    <t xml:space="preserve">User xem danh sách positions - TVL - unclaimed fees</t>
  </si>
  <si>
    <t xml:space="preserve">Web (desktop + mobile browser)</t>
  </si>
  <si>
    <t xml:space="preserve">pool.bnza.io / Vercel</t>
  </si>
  <si>
    <t xml:space="preserve">Next.js 16 + React 19 + TypeScript + Tailwind + shadcn/ui</t>
  </si>
  <si>
    <t xml:space="preserve">Optimism (10), Base (8453)</t>
  </si>
  <si>
    <t xml:space="preserve">modules/pool/SPEC.md §Architecture</t>
  </si>
  <si>
    <t xml:space="preserve">Bot Start/Stop</t>
  </si>
  <si>
    <t xml:space="preserve">User deposit USDC/ETH → wrap WETH → approve Router → zapMintFor → POST atomic-start API lên OPERATOR → D1 transaction tạo bot_configs + bot_positions</t>
  </si>
  <si>
    <t xml:space="preserve">User deposit $1000 USDC → Bot tự động tạo LP position ±5% range, min $1000</t>
  </si>
  <si>
    <t xml:space="preserve">modules/pool/SPEC.md §Bot Start Flow</t>
  </si>
  <si>
    <t xml:space="preserve">Earnings Display</t>
  </si>
  <si>
    <t xml:space="preserve">Lấy fee collection history từ OPERATOR API (useOperator* hooks) + hiển thị PnL chart qua React Query</t>
  </si>
  <si>
    <t xml:space="preserve">Dashboard hiển thị daily/weekly/monthly earnings với recharts</t>
  </si>
  <si>
    <t xml:space="preserve">modules/pool/SPEC.md §Data layer</t>
  </si>
  <si>
    <t xml:space="preserve">IF-THEN Rules</t>
  </si>
  <si>
    <t xml:space="preserve">User đặt rule → OPERATOR cron */5 min check conditions → notify user nếu triggered</t>
  </si>
  <si>
    <t xml:space="preserve">Rule: price out-of-range &gt; 2h → push notification tới user</t>
  </si>
  <si>
    <t xml:space="preserve">modules/operator/SPEC.md §Rule Check</t>
  </si>
  <si>
    <t xml:space="preserve">Token Pricing (Hyperliquid)</t>
  </si>
  <si>
    <t xml:space="preserve">Gọi Hyperliquid API POST https://api.hyperliquid.xyz/info {type:allMids} trực tiếp từ browser - cache 15s - stablecoin fixed $1</t>
  </si>
  <si>
    <t xml:space="preserve">Hiển thị giá ETH/BTC realtime - 24h change rate = (mid - prevDayPx) / prevDayPx * 100</t>
  </si>
  <si>
    <t xml:space="preserve">modules/pool/SPEC.md §Token Prices</t>
  </si>
  <si>
    <t xml:space="preserve">WL Access Gate</t>
  </si>
  <si>
    <t xml:space="preserve">Connect wallet → consent modal → checkWhitelist qua OPERATOR API → approved (navigate /dashboard) hoặc denied (Members only modal)</t>
  </si>
  <si>
    <t xml:space="preserve">Chỉ wallet trong allowed_addresses mới vào được. Denied → disconnect + show modal</t>
  </si>
  <si>
    <t xml:space="preserve">modules/pool/SPEC.md §LP/Pre-Launch Access Flow</t>
  </si>
  <si>
    <t xml:space="preserve">5-language i18n</t>
  </si>
  <si>
    <t xml:space="preserve">en/ja/ko/zh/vi dictionary files + LanguageContext. LP landing page fixed English only</t>
  </si>
  <si>
    <t xml:space="preserve">User chọn ngôn ngữ → toàn bộ UI /dashboard trở đi chuyển đổi</t>
  </si>
  <si>
    <t xml:space="preserve">Bridge Guidance</t>
  </si>
  <si>
    <t xml:space="preserve">Kiểm tra ETH balance via useBalance - nếu &lt; ESTIMATED_GAS_ETH (0.001 ETH) → hiển thị Bridge guidance</t>
  </si>
  <si>
    <t xml:space="preserve">Bạn cần ≥0.001 ETH cho gas - hãy bridge từ chain khác</t>
  </si>
  <si>
    <t xml:space="preserve">BNZA-ADMIN</t>
  </si>
  <si>
    <t xml:space="preserve">A</t>
  </si>
  <si>
    <t xml:space="preserve">POOL Management (Bot list / force-stop / plan_specs)</t>
  </si>
  <si>
    <t xml:space="preserve">✅ Real API</t>
  </si>
  <si>
    <t xml:space="preserve">Quản lý Bot list qua /api/bot-configs/all - force-stop qua /api/bot-configs/:id/force-stop - plan_specs CRUD</t>
  </si>
  <si>
    <t xml:space="preserve">Admin xem tất cả bots - force-stop bot lỗi - tạo plan_specs version mới</t>
  </si>
  <si>
    <t xml:space="preserve">Web (internal admin only)</t>
  </si>
  <si>
    <t xml:space="preserve">ops.bnza.io / Cloudflare Pages</t>
  </si>
  <si>
    <t xml:space="preserve">React 19 + Vite 8 + TypeScript 6 + Tailwind 4 + shadcn/ui</t>
  </si>
  <si>
    <t xml:space="preserve">N/A (calls OPERATOR API)</t>
  </si>
  <si>
    <t xml:space="preserve">modules/admin/SPEC.md §Existing Implemented Features</t>
  </si>
  <si>
    <t xml:space="preserve">B</t>
  </si>
  <si>
    <t xml:space="preserve">EX Management</t>
  </si>
  <si>
    <t xml:space="preserve">❌ Not implemented</t>
  </si>
  <si>
    <t xml:space="preserve">EX kết nối trực tiếp Hyperliquid - không qua OPERATOR nên không cần admin screen</t>
  </si>
  <si>
    <t xml:space="preserve">N/A - low priority</t>
  </si>
  <si>
    <t xml:space="preserve">N/A</t>
  </si>
  <si>
    <t xml:space="preserve">modules/admin/SPEC.md §Feature B</t>
  </si>
  <si>
    <t xml:space="preserve">C</t>
  </si>
  <si>
    <t xml:space="preserve">TOKEN Management</t>
  </si>
  <si>
    <t xml:space="preserve">🔸 Mock UI only</t>
  </si>
  <si>
    <t xml:space="preserve">UI skeleton cho /burn /supply /vesting /treasury /builder-fee - chưa có real API - static/mock data</t>
  </si>
  <si>
    <t xml:space="preserve">Chỉ có UI - chưa kết nối backend</t>
  </si>
  <si>
    <t xml:space="preserve">modules/admin/SPEC.md §Feature C</t>
  </si>
  <si>
    <t xml:space="preserve">D</t>
  </si>
  <si>
    <t xml:space="preserve">IB Management</t>
  </si>
  <si>
    <t xml:space="preserve">Quản lý Introducing Broker - /ib page hardcoded với mockIBs</t>
  </si>
  <si>
    <t xml:space="preserve">Chỉ có UI mock - chưa kết nối backend</t>
  </si>
  <si>
    <t xml:space="preserve">modules/admin/SPEC.md §Feature D</t>
  </si>
  <si>
    <t xml:space="preserve">E</t>
  </si>
  <si>
    <t xml:space="preserve">WL Management (White Label branding)</t>
  </si>
  <si>
    <t xml:space="preserve">🔸 Mock UI only (must-have for WL launch)</t>
  </si>
  <si>
    <t xml:space="preserve">Quản lý WL partner branding - logo động - wl_partners table. /whitelabel page là mock</t>
  </si>
  <si>
    <t xml:space="preserve">Quản lý logo/branding cho từng WL partner</t>
  </si>
  <si>
    <t xml:space="preserve">modules/admin/SPEC.md §Feature E</t>
  </si>
  <si>
    <t xml:space="preserve">F</t>
  </si>
  <si>
    <t xml:space="preserve">User Management</t>
  </si>
  <si>
    <t xml:space="preserve">Danh sách users qua /api/users - hiển thị trạng thái Bot - positions - revenue</t>
  </si>
  <si>
    <t xml:space="preserve">Admin xem tất cả users và trạng thái hoạt động</t>
  </si>
  <si>
    <t xml:space="preserve">modules/admin/SPEC.md §Feature F</t>
  </si>
  <si>
    <t xml:space="preserve">G</t>
  </si>
  <si>
    <t xml:space="preserve">PF Distribution Management</t>
  </si>
  <si>
    <t xml:space="preserve">Quản lý phân phối Performance Fee 30% cho max 10 recipients. /fee-distribution chỉ có useState</t>
  </si>
  <si>
    <t xml:space="preserve">Cấu hình: Partner A 50% + Partner B 30% + Remainder 20%</t>
  </si>
  <si>
    <t xml:space="preserve">modules/admin/SPEC.md §Feature G</t>
  </si>
  <si>
    <t xml:space="preserve">H</t>
  </si>
  <si>
    <t xml:space="preserve">Audit/Logs</t>
  </si>
  <si>
    <t xml:space="preserve">Xem bot-operations logs qua /api/bot-operations/all - TX history của automated operations</t>
  </si>
  <si>
    <t xml:space="preserve">Admin xem lịch sử rebalance/collect/stop của tất cả bots</t>
  </si>
  <si>
    <t xml:space="preserve">modules/admin/SPEC.md §Feature H</t>
  </si>
  <si>
    <t xml:space="preserve">I</t>
  </si>
  <si>
    <t xml:space="preserve">Bot Type Management</t>
  </si>
  <si>
    <t xml:space="preserve">🟡 Partial</t>
  </si>
  <si>
    <t xml:space="preserve">Quản lý plan_specs + cooldown cho LP/EXBOT/AI Pro. /plans page có bot-type-card + editing</t>
  </si>
  <si>
    <t xml:space="preserve">Tạo plan mới - set cooldown - manage bot types</t>
  </si>
  <si>
    <t xml:space="preserve">modules/admin/SPEC.md §Feature I</t>
  </si>
  <si>
    <t xml:space="preserve">-</t>
  </si>
  <si>
    <t xml:space="preserve">Access Control</t>
  </si>
  <si>
    <t xml:space="preserve">GET/POST/DELETE allowed_addresses + blocked_addresses + access_mode switching qua /api/system-config</t>
  </si>
  <si>
    <t xml:space="preserve">Admin thêm/xóa wallet whitelist - chuyển public/whitelist mode</t>
  </si>
  <si>
    <t xml:space="preserve">modules/admin/SPEC.md §Access Control</t>
  </si>
  <si>
    <t xml:space="preserve">RBAC Authentication</t>
  </si>
  <si>
    <t xml:space="preserve">Reown AppKit wallet connect → /api/me check role (super_admin/admin/viewer) → AdminLayout guard redirect</t>
  </si>
  <si>
    <t xml:space="preserve">Chỉ wallet có role mới access được admin panel</t>
  </si>
  <si>
    <t xml:space="preserve">modules/admin/SPEC.md §RBAC</t>
  </si>
  <si>
    <t xml:space="preserve">BNZA-EX</t>
  </si>
  <si>
    <t xml:space="preserve">Perpetuals Trading</t>
  </si>
  <si>
    <t xml:space="preserve">Kết nối trực tiếp Hyperliquid API qua @nktkas/hyperliquid SDK - order execution - clearinghouse</t>
  </si>
  <si>
    <t xml:space="preserve">User đặt lệnh Long/Short ETH-USD perps trực tiếp trên Hyperliquid</t>
  </si>
  <si>
    <t xml:space="preserve">Web (desktop only)</t>
  </si>
  <si>
    <t xml:space="preserve">ex.bnza.io / Cloudflare Pages</t>
  </si>
  <si>
    <t xml:space="preserve">React 18 + Vite 6 + Plain JSX + Custom CSS</t>
  </si>
  <si>
    <t xml:space="preserve">Arbitrum (42161) only</t>
  </si>
  <si>
    <t xml:space="preserve">modules/ex/SPEC.md §Overview + §Architecture</t>
  </si>
  <si>
    <t xml:space="preserve">Agent Wallet (W1)</t>
  </si>
  <si>
    <t xml:space="preserve">Reown AppKit trên Arbitrum - Agent Wallet approach - user approve 1 lần → trade không cần ký mỗi lệnh</t>
  </si>
  <si>
    <t xml:space="preserve">User approve agent key → bot/user trade liên tục không popup MetaMask</t>
  </si>
  <si>
    <t xml:space="preserve">modules/ex/SPEC.md §Supported Chains</t>
  </si>
  <si>
    <t xml:space="preserve">Order Book (realtime)</t>
  </si>
  <si>
    <t xml:space="preserve">WebSocket stream realtime từ Hyperliquid qua MarketStreamContext</t>
  </si>
  <si>
    <t xml:space="preserve">Hiển thị bid/ask depth cập nhật realtime</t>
  </si>
  <si>
    <t xml:space="preserve">modules/ex/SPEC.md §Architecture</t>
  </si>
  <si>
    <t xml:space="preserve">Portfolio View</t>
  </si>
  <si>
    <t xml:space="preserve">6 tabs: Balances/Deposits/Funding/Orders/Positions/Trades + PnL chart + SummaryCards</t>
  </si>
  <si>
    <t xml:space="preserve">User xem PnL - funding history - open positions - trade history</t>
  </si>
  <si>
    <t xml:space="preserve">modules/ex/SPEC.md §Architecture (src/pages/portfolio/)</t>
  </si>
  <si>
    <t xml:space="preserve">Price Chart</t>
  </si>
  <si>
    <t xml:space="preserve">✅ Production (basic)</t>
  </si>
  <si>
    <t xml:space="preserve">TradingView free widget (tv.js) - Advanced Charts chưa tích hợp (adapter design sẵn)</t>
  </si>
  <si>
    <t xml:space="preserve">Chart giá với indicators cơ bản. Charting Library integration pending</t>
  </si>
  <si>
    <t xml:space="preserve">modules/ex/SPEC.md §TradingView</t>
  </si>
  <si>
    <t xml:space="preserve">Multi-language i18n</t>
  </si>
  <si>
    <t xml:space="preserve">Custom implementation: en/ja/zh/ko/vi dictionaries + LanguageContext</t>
  </si>
  <si>
    <t xml:space="preserve">Chuyển đổi ngôn ngữ giao diện trading</t>
  </si>
  <si>
    <t xml:space="preserve">modules/ex/SPEC.md §Tech</t>
  </si>
  <si>
    <t xml:space="preserve">Builder Fee</t>
  </si>
  <si>
    <t xml:space="preserve">5bps builder fee trên mỗi trade qua Hyperliquid builder approval</t>
  </si>
  <si>
    <t xml:space="preserve">Mỗi trade $10000 → $5 builder fee cho BNZA</t>
  </si>
  <si>
    <t xml:space="preserve">modules/ex/SPEC.md §Related Modules</t>
  </si>
  <si>
    <t xml:space="preserve">Auto Rebalance</t>
  </si>
  <si>
    <t xml:space="preserve">Cron */5 min → bot-checker đọc pool slot0 qua Alchemy RPC → so sánh currentTick vs bot range → nếu out-of-range → enqueue rebalance → Consumer gọi LpBot.rebalanceBot</t>
  </si>
  <si>
    <t xml:space="preserve">Bot #15 out-of-range 30 phút → trigger rebalance → LpBot tính amount on-chain → new position ±5%</t>
  </si>
  <si>
    <t xml:space="preserve">Backend (serverless)</t>
  </si>
  <si>
    <t xml:space="preserve">api.bnza.io / Cloudflare Workers</t>
  </si>
  <si>
    <t xml:space="preserve">CF Workers + Hono + TypeScript + D1 + DO + Queues</t>
  </si>
  <si>
    <t xml:space="preserve">modules/operator/SPEC.md §BnzaOperator Feature List + modules/operator/SPEC_V2_QUEUE.md</t>
  </si>
  <si>
    <t xml:space="preserve">Auto Fee Collection (daily-collect)</t>
  </si>
  <si>
    <t xml:space="preserve">Cron daily UTC 00:01 → Producer scan all running bots (started_at &lt; window) → enqueue → Consumer gọi Router.collectForUser → PF 30% distribute → USDC 70% payout</t>
  </si>
  <si>
    <t xml:space="preserve">100 bots → collect song song qua Queue → drain SLO 3 hours → PF distribute → user payout</t>
  </si>
  <si>
    <t xml:space="preserve">modules/operator/SPEC.md §Fee Structure + SPEC_V2_QUEUE.md §1.2</t>
  </si>
  <si>
    <t xml:space="preserve">Auto Compound</t>
  </si>
  <si>
    <t xml:space="preserve">Reinvest collected fees vào LP position qua Router.compoundWithFee - auto_compound flag per bot</t>
  </si>
  <si>
    <t xml:space="preserve">Fees $50 → compound vào position hiện tại → tăng liquidity</t>
  </si>
  <si>
    <t xml:space="preserve">modules/operator/SPEC.md §BnzaOperator Feature List #3</t>
  </si>
  <si>
    <t xml:space="preserve">PF Distribution</t>
  </si>
  <si>
    <t xml:space="preserve">Sau collect → tính 30% of earned → chia theo distribution table (max 10 recipients) → last entry gets remainder (rounding fix)</t>
  </si>
  <si>
    <t xml:space="preserve">$100 fee → $30 PF → $15 partner A + $15 partner B. Changes reflected immediately</t>
  </si>
  <si>
    <t xml:space="preserve">modules/operator/SPEC.md §Stream 2: Performance Fee</t>
  </si>
  <si>
    <t xml:space="preserve">USDC Delivery</t>
  </si>
  <si>
    <t xml:space="preserve">Chuyển 70% user portion còn lại về wallet user sau khi trừ PF + gas cost</t>
  </si>
  <si>
    <t xml:space="preserve">$100 fee → deduct gas → net profit → PF 30% → user nhận 70% bằng USDC</t>
  </si>
  <si>
    <t xml:space="preserve">modules/operator/SPEC.md §Gas Cost Policy</t>
  </si>
  <si>
    <t xml:space="preserve">Multi-Relayer System</t>
  </si>
  <si>
    <t xml:space="preserve">HD wallet 50 addresses × 2 chains = 100 relayer wallets. RelayerLockDO (Durable Object) per-relayer mutation lock tránh nonce conflict</t>
  </si>
  <si>
    <t xml:space="preserve">Bot #1 dùng relayer #3 trên OP - Bot #2 dùng relayer #7 trên Base - không bao giờ conflict</t>
  </si>
  <si>
    <t xml:space="preserve">modules/operator/README.md + SPEC_V2_QUEUE.md §RelayerLockDO</t>
  </si>
  <si>
    <t xml:space="preserve">Access Control API</t>
  </si>
  <si>
    <t xml:space="preserve">GET/POST/DELETE /api/allowed-addresses + /api/blocked-addresses + /api/system-config/access_mode. Check order: blocked → whitelist/public</t>
  </si>
  <si>
    <t xml:space="preserve">Admin thêm wallet vào whitelist → user access POOL. Blocked = deny 403 always</t>
  </si>
  <si>
    <t xml:space="preserve">modules/operator/SPEC.md §Access Control</t>
  </si>
  <si>
    <t xml:space="preserve">Bot Lifecycle API (atomic-start)</t>
  </si>
  <si>
    <t xml:space="preserve">POST /api/bot-configs/atomic-start → D1 transaction (bot_configs INSERT + bot_positions INSERT). Rollback on failure. Force-stop via /api/bot-configs/:id/force-stop</t>
  </si>
  <si>
    <t xml:space="preserve">POOL UI gọi atomic-start → D1 tạo config + position atomically → return bot_config_id</t>
  </si>
  <si>
    <t xml:space="preserve">modules/pool/SPEC.md §atomic-start API + modules/operator/SPEC.md</t>
  </si>
  <si>
    <t xml:space="preserve">Rule Check + Notification</t>
  </si>
  <si>
    <t xml:space="preserve">Cron */5 min → check IF-THEN rules per bot → nếu condition triggered → dedupe → notify user (frontend notification)</t>
  </si>
  <si>
    <t xml:space="preserve">Rule 'out-of-range &gt; 2h' → notification hiển thị trên POOL UI</t>
  </si>
  <si>
    <t xml:space="preserve">modules/operator/SPEC_V2_QUEUE.md §P0-G</t>
  </si>
  <si>
    <t xml:space="preserve">Queue v2 (10K Bot scale)</t>
  </si>
  <si>
    <t xml:space="preserve">🟡 In development</t>
  </si>
  <si>
    <t xml:space="preserve">Producer/Consumer pattern - daily-collect drain SLO 3h - shard-based parallel - D1 hot DB + R2 archive + Postgres analytics</t>
  </si>
  <si>
    <t xml:space="preserve">10000 bots collect trong 3 giờ qua batched queue processing. No phased rollout</t>
  </si>
  <si>
    <t xml:space="preserve">modules/operator/SPEC_V2_QUEUE.md §1.1-1.4</t>
  </si>
  <si>
    <t xml:space="preserve">BNZA-ROUTER</t>
  </si>
  <si>
    <t xml:space="preserve">zapMint / zapMintFor</t>
  </si>
  <si>
    <t xml:space="preserve">Nhận USDC/WETH/ETH → swap ratio phù hợp cho tick range → mint Uniswap V3 LP NFT position. ETH auto-wrap to WETH</t>
  </si>
  <si>
    <t xml:space="preserve">User deposit 1000 USDC → swap ~50% thành WETH (tùy tick) → mint LP NFT với range</t>
  </si>
  <si>
    <t xml:space="preserve">On-chain smart contract</t>
  </si>
  <si>
    <t xml:space="preserve">OP: 0xe4E873...6B8D / Base: 0xc70cDE...2130</t>
  </si>
  <si>
    <t xml:space="preserve">Solidity 0.8.20 + Foundry</t>
  </si>
  <si>
    <t xml:space="preserve">modules/router/SPEC_V2.md §1.2 + §2.1</t>
  </si>
  <si>
    <t xml:space="preserve">closeForSelf / closeForUser</t>
  </si>
  <si>
    <t xml:space="preserve">Decrease all liquidity → collect all fees → return pair currency (WETH unwrap to ETH). closeForSelf always returns pair currency (v2.2.2)</t>
  </si>
  <si>
    <t xml:space="preserve">User stop bot → close position → nhận lại ETH + USDC theo ratio</t>
  </si>
  <si>
    <t xml:space="preserve">modules/router/SPEC_V2.md §1.2 (v2.2.2)</t>
  </si>
  <si>
    <t xml:space="preserve">collectForSelf / collectForUser</t>
  </si>
  <si>
    <t xml:space="preserve">Collect unclaimed fees từ Uniswap V3 position. collectForUser(tokenId - user - convertToUsdc) cho operator</t>
  </si>
  <si>
    <t xml:space="preserve">Daily collect fees → trả về user (pair currency) hoặc convert USDC (opt-in)</t>
  </si>
  <si>
    <t xml:space="preserve">compoundForSelf / compoundWithFee</t>
  </si>
  <si>
    <t xml:space="preserve">Collect fees → reinvest (add liquidity) vào position hiện tại. WithFee version charge opFee</t>
  </si>
  <si>
    <t xml:space="preserve">$50 fees → compound vào position → tăng liquidity mà không cần thêm vốn</t>
  </si>
  <si>
    <t xml:space="preserve">modules/router/SPEC_V2.md §2.1</t>
  </si>
  <si>
    <t xml:space="preserve">rebalanceForBot (v2.2.2)</t>
  </si>
  <si>
    <t xml:space="preserve">Atomic close → re-mint với range mới. autoCompound flag control reinvest. PF charged trước reinvest (PF-1). Ported TickMath/LiquidityAmounts từ LPBOT</t>
  </si>
  <si>
    <t xml:space="preserve">Out-of-range → atomic close old position + mint new ±5% current tick. 1 TX thay vì 2</t>
  </si>
  <si>
    <t xml:space="preserve">modules/router/SPEC_V2.md §1.2 (rebalanceForBot)</t>
  </si>
  <si>
    <t xml:space="preserve">Swap Fee 0.5%</t>
  </si>
  <si>
    <t xml:space="preserve">Mỗi swap trong zap/rebalance → 0.5% fee → Treasury wallet. MAX_SWAP_FEE_BPS = 500 (5% cap)</t>
  </si>
  <si>
    <t xml:space="preserve">Swap $1000 USDC→WETH → $5 fee → Treasury (0x2455...3A0a)</t>
  </si>
  <si>
    <t xml:space="preserve">modules/router/SPEC_V2.md §3.1 + README.md</t>
  </si>
  <si>
    <t xml:space="preserve">OpFee 0.5%</t>
  </si>
  <si>
    <t xml:space="preserve">Fee trên earned amount khi collect → Treasury. MAX_OP_FEE_BPS = 500 (5% cap). Phase C-0</t>
  </si>
  <si>
    <t xml:space="preserve">Collect $100 earned → $0.5 opFee → Treasury → Buy&amp;Burn</t>
  </si>
  <si>
    <t xml:space="preserve">modules/router/SPEC_V2.md §3.1 + modules/operator/SPEC.md §Fee Structure</t>
  </si>
  <si>
    <t xml:space="preserve">Performance Fee 30%</t>
  </si>
  <si>
    <t xml:space="preserve">PF trên user portion of earned → pfCollector wallet. MAX_PF_BPS = 5000 (50% cap). Không charge trên principal</t>
  </si>
  <si>
    <t xml:space="preserve">User earned $100 → $30 PF → pfCollector (0xa5B8...C969) → distribute to partners</t>
  </si>
  <si>
    <t xml:space="preserve">modules/router/SPEC_V2.md §1.3 + README.md</t>
  </si>
  <si>
    <t xml:space="preserve">BNZA-LPBOT</t>
  </si>
  <si>
    <t xml:space="preserve">startBot</t>
  </si>
  <si>
    <t xml:space="preserve">User gọi qua wallet → LpBot nhận USDC → gọi Router.zapMintFor → mint LP position → store tokenId + owner</t>
  </si>
  <si>
    <t xml:space="preserve">User approve + call startBot($1000 USDC) → LP NFT minted → Bot tracking bắt đầu</t>
  </si>
  <si>
    <t xml:space="preserve">OP: 0xeFA603...9572 / Base: 0xAA42Bb...A814</t>
  </si>
  <si>
    <t xml:space="preserve">modules/lpbot/SPEC.md §1.3 + §4.1.1</t>
  </si>
  <si>
    <t xml:space="preserve">stopBot</t>
  </si>
  <si>
    <t xml:space="preserve">Operator/User gọi → close position qua Router.closeForUser(convertPrincipalToUsdc=true) → trả USDC về user</t>
  </si>
  <si>
    <t xml:space="preserve">Stop → collect fees → close position → user nhận USDC single asset</t>
  </si>
  <si>
    <t xml:space="preserve">modules/lpbot/SPEC.md §1.3 + §4.1.2</t>
  </si>
  <si>
    <t xml:space="preserve">rebalanceBot (on-chain calc)</t>
  </si>
  <si>
    <t xml:space="preserve">Operator gọi với newTickLower/Upper → LpBot tính amount0/amount1 on-chain từ sqrtPriceX96 + new range → Router.closeForUser + zapMintFor</t>
  </si>
  <si>
    <t xml:space="preserve">Out-of-range → OPERATOR trigger → LpBot tính chính xác → close + re-mint. $1000 → $908-911 retained (90%+)</t>
  </si>
  <si>
    <t xml:space="preserve">modules/lpbot/SPEC.md §1.4 (Bug #6 fix)</t>
  </si>
  <si>
    <t xml:space="preserve">dailyCollectBot</t>
  </si>
  <si>
    <t xml:space="preserve">Operator gọi daily → collect fees qua Router.collectWithFeeAsUsdc</t>
  </si>
  <si>
    <t xml:space="preserve">UTC 00:01 → OPERATOR trigger → collect all running bots → PF distribute</t>
  </si>
  <si>
    <t xml:space="preserve">modules/lpbot/SPEC.md §1.3</t>
  </si>
  <si>
    <t xml:space="preserve">On-chain Amount Calculation</t>
  </si>
  <si>
    <t xml:space="preserve">Tính amount0/amount1 từ sqrtPriceX96 + TickMath + LiquidityAmounts + FullMath + FixedPoint96. Không delegate cho frontend</t>
  </si>
  <si>
    <t xml:space="preserve">Fix Bug #6: v1.1 frontend tính sai → dust ($0). v2.0 on-chain tính → 90%+ retained</t>
  </si>
  <si>
    <t xml:space="preserve">modules/lpbot/SPEC.md §1.4 (Bug #6)</t>
  </si>
  <si>
    <t xml:space="preserve">Rebalance Cooldown</t>
  </si>
  <si>
    <t xml:space="preserve">Ngăn rebalance quá thường xuyên. Cooldown period configurable per plan_specs</t>
  </si>
  <si>
    <t xml:space="preserve">Cooldown 60 min → nếu vừa rebalance xong thì skip dù out-of-range</t>
  </si>
  <si>
    <t xml:space="preserve">Operator Authorization</t>
  </si>
  <si>
    <t xml:space="preserve">addAuthorizedOperator(address) cho mỗi relayer wallet. tools/authorize-relayers.ts batch registration (idempotent - dry-run)</t>
  </si>
  <si>
    <t xml:space="preserve">100 Multi-Relayer wallets được authorize → có thể gọi bot functions</t>
  </si>
  <si>
    <t xml:space="preserve">modules/lpbot/README.md §Operator registration</t>
  </si>
  <si>
    <t xml:space="preserve">BNZA-EXBOT</t>
  </si>
  <si>
    <t xml:space="preserve">LP + Hedge Strategy</t>
  </si>
  <si>
    <t xml:space="preserve">Phase 0 (R&amp;D)</t>
  </si>
  <si>
    <t xml:space="preserve">LP trên Uniswap V3 (USDC/ETH 0.3% ±5% range) + Short ETH trên Hyperliquid để hedge IL. net = LP_fee - IL - hedge_cost - funding - gas - PF</t>
  </si>
  <si>
    <t xml:space="preserve">LP USDC/ETH earn fees + Short 70% ETH exposure trên HL giảm IL drawdown</t>
  </si>
  <si>
    <t xml:space="preserve">Backend (integrated into OPERATOR)</t>
  </si>
  <si>
    <t xml:space="preserve">Trong OPERATOR infrastructure</t>
  </si>
  <si>
    <t xml:space="preserve">CF Workers + D1 + DO + Queue</t>
  </si>
  <si>
    <t xml:space="preserve">Base (OP later)</t>
  </si>
  <si>
    <t xml:space="preserve">modules/exbot/README.md §Strategy concept</t>
  </si>
  <si>
    <t xml:space="preserve">Delta Hedge (70% short)</t>
  </si>
  <si>
    <t xml:space="preserve">70% short ratio - 3x isolated leverage - delta-only hedge. Không hedge 100% (cost &gt; benefit)</t>
  </si>
  <si>
    <t xml:space="preserve">ETH exposure $10000 trong LP → Short $7000 ETH-USD trên HL với 3x leverage</t>
  </si>
  <si>
    <t xml:space="preserve">Base + Arbitrum (HL)</t>
  </si>
  <si>
    <t xml:space="preserve">modules/exbot/README.md §Phase 1 scope</t>
  </si>
  <si>
    <t xml:space="preserve">Adaptive Hedge Overlay</t>
  </si>
  <si>
    <t xml:space="preserve">Tự động điều chỉnh hedge size theo LP position changes (rebalance - partial close - compound)</t>
  </si>
  <si>
    <t xml:space="preserve">Rebalance LP → ETH amount thay đổi → recalculate → adjust short size trên HL</t>
  </si>
  <si>
    <t xml:space="preserve">Agent Key Approval</t>
  </si>
  <si>
    <t xml:space="preserve">User approve HL agent key 1 lần → EXBOT trade thay user trên Hyperliquid subaccount</t>
  </si>
  <si>
    <t xml:space="preserve">User ký approval → bot tự động open/close/adjust hedge positions</t>
  </si>
  <si>
    <t xml:space="preserve">Arbitrum (42161)</t>
  </si>
  <si>
    <t xml:space="preserve">modules/exbot/README.md §SOTATEK tasks</t>
  </si>
  <si>
    <t xml:space="preserve">CCTP Bridge</t>
  </si>
  <si>
    <t xml:space="preserve">Bridge USDC cross-chain (Base → Arbitrum) cho hedge collateral trên Hyperliquid</t>
  </si>
  <si>
    <t xml:space="preserve">USDC trên Base → CCTP bridge → Arbitrum → deposit vào HL cho margin</t>
  </si>
  <si>
    <t xml:space="preserve">Base → Arbitrum</t>
  </si>
  <si>
    <t xml:space="preserve">Stop Safety Factor</t>
  </si>
  <si>
    <t xml:space="preserve">stopSafetyFactor ngăn stop khi hedge đang unrealized loss lớn → delay stop để tránh lock-in loss</t>
  </si>
  <si>
    <t xml:space="preserve">Nếu hedge loss &gt; threshold → delay stop → chờ hedge recover hoặc user force</t>
  </si>
  <si>
    <t xml:space="preserve">Base + Arbitrum</t>
  </si>
  <si>
    <t xml:space="preserve">BNZA-MOBILE</t>
  </si>
  <si>
    <t xml:space="preserve">EXBOT Only Operation</t>
  </si>
  <si>
    <t xml:space="preserve">Phase 2 (rebuild)</t>
  </si>
  <si>
    <t xml:space="preserve">Chỉ chạy EXBOT (không LPBOT - không AI Pro). Không có bot selection UI</t>
  </si>
  <si>
    <t xml:space="preserve">User chỉ thấy 1 loại bot: EXBOT. Start/Stop/Status trên 1 màn hình</t>
  </si>
  <si>
    <t xml:space="preserve">Mobile PWA only (PC blocked)</t>
  </si>
  <si>
    <t xml:space="preserve">TBD (rebuild from scratch)</t>
  </si>
  <si>
    <t xml:space="preserve">TBD (recommended: Vite + React + Zustand)</t>
  </si>
  <si>
    <t xml:space="preserve">modules/mobile/README.md §Key constraints</t>
  </si>
  <si>
    <t xml:space="preserve">WL Only Access</t>
  </si>
  <si>
    <t xml:space="preserve">Truy cập qua referral code (?ref=CODE) → connect wallet → Sign Message verify → server-side whitelist check</t>
  </si>
  <si>
    <t xml:space="preserve">URL ?ref=ABC123 → connect wallet → verify → approved → Dashboard</t>
  </si>
  <si>
    <t xml:space="preserve">modules/mobile/SPEC.md §Invite Gate Flow</t>
  </si>
  <si>
    <t xml:space="preserve">Fixed Deposit Amounts</t>
  </si>
  <si>
    <t xml:space="preserve">Số tiền deposit cố định theo per-WL configuration (không free input)</t>
  </si>
  <si>
    <t xml:space="preserve">WL partner A config: chỉ cho deposit $500 / $1000 / $5000 (3 options)</t>
  </si>
  <si>
    <t xml:space="preserve">Base</t>
  </si>
  <si>
    <t xml:space="preserve">Dynamic WL Logo</t>
  </si>
  <si>
    <t xml:space="preserve">Hiển thị logo WL partner từ wl_partners table (ADMIN Feature E). Logo thay đổi theo referral code</t>
  </si>
  <si>
    <t xml:space="preserve">User từ partner X → header hiển thị logo partner X thay vì BNZA logo</t>
  </si>
  <si>
    <t xml:space="preserve">Single Screen UI</t>
  </si>
  <si>
    <t xml:space="preserve">100dvh - flex layout - safe-area support - no scroll. 4 layers: Header/Navigation/Main/Footer</t>
  </si>
  <si>
    <t xml:space="preserve">Tất cả thông tin Bot (status/APR/deposit/revenue) trên 1 màn hình không scroll</t>
  </si>
  <si>
    <t xml:space="preserve">modules/mobile/SPEC.md §5 Layout Specification</t>
  </si>
  <si>
    <t xml:space="preserve">en/ja/ko/zh/vi - same as POOL</t>
  </si>
  <si>
    <t xml:space="preserve">Đa ngôn ngữ cho WL users quốc tế</t>
  </si>
  <si>
    <t xml:space="preserve">modules/mobile/README.md §SOTATEK tasks</t>
  </si>
  <si>
    <t xml:space="preserve">PWA (Add-to-home-screen)</t>
  </si>
  <si>
    <t xml:space="preserve">manifest.json + service worker + add-to-home-screen support. Native app không cần ở giai đoạn này</t>
  </si>
  <si>
    <t xml:space="preserve">Install như native app trên iOS/Android home screen</t>
  </si>
  <si>
    <t xml:space="preserve">modules/mobile/SPEC.md §14 PWA Policy</t>
  </si>
  <si>
    <t xml:space="preserve">BNZA-TOKEN</t>
  </si>
  <si>
    <t xml:space="preserve">ERC-20 Standard</t>
  </si>
  <si>
    <t xml:space="preserve">✅ Deployed (DO NOT MODIFY)</t>
  </si>
  <si>
    <t xml:space="preserve">Name: Bonanza - Symbol: BNZA - Decimals: 18 - Max Supply: 10B - Hard cap</t>
  </si>
  <si>
    <t xml:space="preserve">Standard ERC-20 token trên Base mainnet</t>
  </si>
  <si>
    <t xml:space="preserve">On-chain (Base mainnet)</t>
  </si>
  <si>
    <t xml:space="preserve">Base: 0x9B15D9...bF92</t>
  </si>
  <si>
    <t xml:space="preserve">Solidity + Foundry + OpenZeppelin</t>
  </si>
  <si>
    <t xml:space="preserve">Base (8453)</t>
  </si>
  <si>
    <t xml:space="preserve">modules/token/README.md §Token spec</t>
  </si>
  <si>
    <t xml:space="preserve">Mintable (MINTER_ROLE)</t>
  </si>
  <si>
    <t xml:space="preserve">✅ Deployed</t>
  </si>
  <si>
    <t xml:space="preserve">MINTER_ROLE có thể mint tokens đến max supply 10B. Controlled by Safe multisig</t>
  </si>
  <si>
    <t xml:space="preserve">Mint thêm BNZA cho liquidity mining rewards (future)</t>
  </si>
  <si>
    <t xml:space="preserve">modules/token/README.md §Roles</t>
  </si>
  <si>
    <t xml:space="preserve">Pausable (PAUSER_ROLE)</t>
  </si>
  <si>
    <t xml:space="preserve">PAUSER_ROLE có thể pause tất cả transfers. Emergency mechanism</t>
  </si>
  <si>
    <t xml:space="preserve">Emergency: pause all BNZA transfers nếu phát hiện exploit</t>
  </si>
  <si>
    <t xml:space="preserve">BurnFrom (BURNER_ROLE - special)</t>
  </si>
  <si>
    <t xml:space="preserve">burnFrom skip EIP-20 allowance check - access gated only by BURNER_ROLE. Cho Buy&amp;Burn mechanism</t>
  </si>
  <si>
    <t xml:space="preserve">BuybackBurn contract burn BNZA không cần prior approval từ holder</t>
  </si>
  <si>
    <t xml:space="preserve">modules/token/README.md §Special: burnFrom design</t>
  </si>
  <si>
    <t xml:space="preserve">Multi-sig Governance</t>
  </si>
  <si>
    <t xml:space="preserve">Founders Safe (0xF6B9...fEfB55f) + Treasury Safe (0xdf9C...1d60) quản lý tất cả roles</t>
  </si>
  <si>
    <t xml:space="preserve">Phase 1: multisig. Phase 2: BURNER→BuybackBurn. Phase 3: DAO evaluation</t>
  </si>
  <si>
    <t xml:space="preserve">modules/token/README.md §Governance roadmap</t>
  </si>
  <si>
    <t xml:space="preserve">Mã hàm</t>
  </si>
  <si>
    <t xml:space="preserve">Tên hàm</t>
  </si>
  <si>
    <t xml:space="preserve">Dạng</t>
  </si>
  <si>
    <t xml:space="preserve">Ý nghĩa</t>
  </si>
  <si>
    <t xml:space="preserve">Các bước để hàm có dữ liệu</t>
  </si>
  <si>
    <t xml:space="preserve">Evidence</t>
  </si>
  <si>
    <t xml:space="preserve">I. BnzaExVault Smart Contract Functions</t>
  </si>
  <si>
    <t xml:space="preserve">vaultMint()</t>
  </si>
  <si>
    <t xml:space="preserve">Tạo mới LP position</t>
  </si>
  <si>
    <t xml:space="preserve">Write</t>
  </si>
  <si>
    <t xml:space="preserve">Khởi tạo LP NFT mới cho user trong vault. USDC được swap thành WETH và mint vào Uniswap V3. NFT được vault giữ. Emit event VaultMinted(user, botId, tokenId, liquidity).</t>
  </si>
  <si>
    <t xml:space="preserve">1. User nạp USDC on-chain
 2. Chain Indexer phát hiện deposit event → enqueue key-provision
 3. Key-provision hoàn tất → enqueue bot-start
 4. ExBot Lambda chạy preflight 5 bước
 5. ExBot Lambda gọi vaultMint(user, tickLower, tickUpper, amount0, amount1, slippageBps)
 6. Vault nhận USDC → swap → NFPM.mint
 7. Vault giữ LP NFT, ghi positionOwner[tokenId] = user
 8. Emit VaultMinted(user, botId, tokenId, liquidity)
 9. Trả về tokenId</t>
  </si>
  <si>
    <t xml:space="preserve">spec.md §FR-EXBOT-020, §FR-EXBOT-004
 flows.md F-03 Step 14-15
 uc-bot-start.md §3 Step 5
 frd.md §4.1 FR-EXBOT-004
 SPEC_v5.2.5.md §15.5.6</t>
  </si>
  <si>
    <t xml:space="preserve">vaultRebalance()</t>
  </si>
  <si>
    <t xml:space="preserve">Rebalance LP position</t>
  </si>
  <si>
    <t xml:space="preserve">Thay đổi range của LP position khi giá vượt khỏi range hiện tại. Decrease 100% → collect → swap → mint new range. Trả về newTokenId.</t>
  </si>
  <si>
    <t xml:space="preserve">1. Light-check phát hiện rangeState != 'in'
 2. Worker transition lifecycle_state='lp_rebalancing'
 3. Worker gọi vaultRebalance(tokenId, newTickLower, newTickUpper, slippageBps)
 4. Vault: decreaseLiquidity 100% → collect → swap → mint new position
 5. Trả về newTokenId
 6. D1 positions được cập nhật với token_id mới</t>
  </si>
  <si>
    <t xml:space="preserve">spec.md §FR-EXBOT-015
 states.md lp_rebalancing state
 frd.md §4.4 FR-EXBOT-015
 SPEC_v5.2.5.md §15.5.6</t>
  </si>
  <si>
    <t xml:space="preserve">vaultClose()</t>
  </si>
  <si>
    <t xml:space="preserve">Đóng LP position</t>
  </si>
  <si>
    <t xml:space="preserve">Đóng hoàn toàn LP position, thu phí, swap WETH→USDC, và trả USDC về ví user trong cùng 1 tx. Emit PositionClosed event.</t>
  </si>
  <si>
    <t xml:space="preserve">1. User gọi BnzaExVault.redeem(tokenId) on-chain (user_redeem)
 2. Vault: decreaseLiquidity 100% → collect → WETH→USDC swap
 3. Performance fee distribution
 4. USDC return to user wallet (cùng tx)
 5. Emit PositionClosed event
 6. Trả về (token0Amount, token1Amount)</t>
  </si>
  <si>
    <t xml:space="preserve">spec.md §FR-EXBOT-070
 flows.md F-04 Step 7
 uc-user-redeem.md §3 Step 1-3
 frd.md §4.8 FR-EXBOT-070
 SPEC_v5.2.5.md §15.5.6</t>
  </si>
  <si>
    <t xml:space="preserve">redeem()</t>
  </si>
  <si>
    <t xml:space="preserve">User redeem LP (on-chain)</t>
  </si>
  <si>
    <t xml:space="preserve">User gọi trực tiếp trên contract để redeem LP position. LP được liquidate instant, LP-portion USDC return in same tx. Emit RedemptionEvent(botId, redeemTxHash, userAddress).</t>
  </si>
  <si>
    <t xml:space="preserve">1. User gọi redeem(tokenId) on-chain
 2. Vault liquidate LP (decreaseLiquidity 100% + collect + swap to USDC)
 3. LP-portion USDC transferred to user in same tx (on-chain guarantee)
 4. Emit RedemptionEvent(botId, redeemTxHash, userAddress)
 5. Redeem Event Watcher phát hiện event → enqueue user_redeem</t>
  </si>
  <si>
    <t xml:space="preserve">spec.md §FR-EXBOT-070
 flows.md F-04 Step 6-7
 uc-user-redeem.md §3 Step 1-4
 frd.md §4.8 FR-EXBOT-070
 SPEC_v5.2.5.md §15.5.6</t>
  </si>
  <si>
    <t xml:space="preserve">collectFees()</t>
  </si>
  <si>
    <t xml:space="preserve">Thu phí LP</t>
  </si>
  <si>
    <t xml:space="preserve">Thu phí LP đã tích lũy khi đạt threshold hoặc có event.</t>
  </si>
  <si>
    <t xml:space="preserve">1. Fee &gt; threshold ($10) hoặc trigger event
 2. Operator gọi collectFees(tokenId)
 3. NFPM collect được gọi
 4. Phí được xử lý theo policy</t>
  </si>
  <si>
    <t xml:space="preserve">spec.md §FR-EXBOT-070
 frd.md §4.8 FR-EXBOT-070
 SPEC_v5.2.5.md §15.5.6</t>
  </si>
  <si>
    <t xml:space="preserve">emergencyTransfer()</t>
  </si>
  <si>
    <t xml:space="preserve">Chuyển NFT khẩn cấp</t>
  </si>
  <si>
    <t xml:space="preserve">Chuyển LP NFT đến recipient (user wallet) trong trường hợp khẩn cấp. Chỉ multiSig mới gọi được. Emit EmergencyRecovery event.</t>
  </si>
  <si>
    <t xml:space="preserve">1. Emergency (operator compromised, contract bug)
 2. MultiSig approve
 3. Operator gọi emergencyTransfer(tokenId, recipient)
 4. LP NFT được transfer đến user wallet
 5. Emit EmergencyRecovery event</t>
  </si>
  <si>
    <t xml:space="preserve">spec.md §FR-EXBOT-080
 frd.md §4.9 IC-EXBOT-005
 SPEC_v5.2.5.md §15.5.6
 us-012.md §Emergency authority</t>
  </si>
  <si>
    <t xml:space="preserve">pause()</t>
  </si>
  <si>
    <t xml:space="preserve">Tạm dừng vault</t>
  </si>
  <si>
    <t xml:space="preserve">Tạm dừng tất cả operations của vault. Chỉ multiSig/guardian gọi được.</t>
  </si>
  <si>
    <t xml:space="preserve">1. Emergency detected
 2. MultiSig gọi pause()
 3. Tất cả non-view functions bị block</t>
  </si>
  <si>
    <t xml:space="preserve">spec.md §FR-EXBOT-080
 frd.md §4.9
 SPEC_v5.2.5.md §15.5.6</t>
  </si>
  <si>
    <t xml:space="preserve">unpause()</t>
  </si>
  <si>
    <t xml:space="preserve">Bỏ tạm dừng vault</t>
  </si>
  <si>
    <t xml:space="preserve">Khôi phục operations của vault sau khi pause.</t>
  </si>
  <si>
    <t xml:space="preserve">1. Issue resolved
 2. MultiSig gọi unpause()
 3. Operations resumed</t>
  </si>
  <si>
    <t xml:space="preserve">SPEC_v5.2.5.md §15.5.6</t>
  </si>
  <si>
    <t xml:space="preserve">rotateOperator()</t>
  </si>
  <si>
    <t xml:space="preserve">Thay đổi operator</t>
  </si>
  <si>
    <t xml:space="preserve">Thay đổi authorizedOperator của vault. MultiSig only.</t>
  </si>
  <si>
    <t xml:space="preserve">1. Key rotation required
 2. MultiSig approve
 3. Gọi rotateOperator(oldOperator, newOperator)
 4. authorizedOperator được cập nhật</t>
  </si>
  <si>
    <t xml:space="preserve">spec.md §FR-EXBOT-080
 frd.md §4.9 IC-EXBOT-005
 SPEC_v5.2.5.md §15.5.6</t>
  </si>
  <si>
    <t xml:space="preserve">executeStrategy()</t>
  </si>
  <si>
    <t xml:space="preserve">Execute redemption strategy</t>
  </si>
  <si>
    <t xml:space="preserve">Được gọi trong bot_safe_close để close LP position. Thực thi RedeemStrategyV1.</t>
  </si>
  <si>
    <t xml:space="preserve">1. bot_safe_close triggered
 2. Operator gọi vault.executeStrategy(RedeemStrategyV1, user, botId, params)
 3. BnzaExPositionManager close LP position
 4. Fees routed via LpFeeOps
 5. Emit PositionClosed event</t>
  </si>
  <si>
    <t xml:space="preserve">spec.md §FR-EXBOT-073
 flows.md F-05 Step 10
 uc-bot-safe-close.md §3 Step 5-6
 frd.md §4.8 FR-EXBOT-070, FR-EXBOT-073
 SPEC_v5.2.5.md §15.5.6</t>
  </si>
  <si>
    <t xml:space="preserve">ownerOfPosition()</t>
  </si>
  <si>
    <t xml:space="preserve">Xem chủ sở hữu position</t>
  </si>
  <si>
    <t xml:space="preserve">Read</t>
  </si>
  <si>
    <t xml:space="preserve">Kiểm tra user nào sở hữu LP position (tokenId).</t>
  </si>
  <si>
    <t xml:space="preserve">1. Audit/reconcile cần xác minh
 2. Gọi ownerOfPosition(tokenId)
 3. Trả về address của user</t>
  </si>
  <si>
    <t xml:space="preserve">isAuthorizedOperator()</t>
  </si>
  <si>
    <t xml:space="preserve">Kiểm tra operator</t>
  </si>
  <si>
    <t xml:space="preserve">Kiểm tra xem một address có phải là authorizedOperator của vault không.</t>
  </si>
  <si>
    <t xml:space="preserve">1. Verify operator authority
 2. Gọi isAuthorizedOperator(address)
 3. Trả về true/false</t>
  </si>
  <si>
    <t xml:space="preserve">II. RedemptionQueue Smart Contract Functions</t>
  </si>
  <si>
    <t xml:space="preserve">createRequest()</t>
  </si>
  <si>
    <t xml:space="preserve">Tạo yêu cầu redemption</t>
  </si>
  <si>
    <t xml:space="preserve">Tạo request để Operator fulfill sau đó. Enqueue vào queue. Emit RequestCreated event.</t>
  </si>
  <si>
    <t xml:space="preserve">1. Sau LP close thành công (bot_safe_close)
 2. Operator gọi RedemptionQueue.createRequest(user, botId, tokenId, hlPortionId)
 3. Request được enqueue
 4. Emit RequestCreated event</t>
  </si>
  <si>
    <t xml:space="preserve">spec.md §FR-EXBOT-073
 flows.md F-05 Step 11-12
 uc-bot-safe-close.md §3 Step 8-9
 frd.md §4.8 FR-EXBOT-070, FR-EXBOT-073
 SPEC_v5.2.5.md §15.5.6</t>
  </si>
  <si>
    <t xml:space="preserve">fulfillRequest()</t>
  </si>
  <si>
    <t xml:space="preserve">Thực hiện thanh toán</t>
  </si>
  <si>
    <t xml:space="preserve">Operator thực hiện thanh toán FIFO cho user. Gọi safeTransferFrom on-chain. Emit RequestFulfilled event.</t>
  </si>
  <si>
    <t xml:space="preserve">1. Operator gọi fulfillRequest(requestId) hoặc fulfillRequest(tokens, amounts)
 2. FIFO pop từ queue
 3. safeTransferFrom(operator, user, amount) on-chain
 4. Emit RequestFulfilled event</t>
  </si>
  <si>
    <t xml:space="preserve">spec.md §FR-EXBOT-073
 flows.md F-05 Step 15
 uc-bot-safe-close.md §3 Step 10-11
 frd.md §4.8 FR-EXBOT-070, FR-EXBOT-073</t>
  </si>
  <si>
    <t xml:space="preserve">Note: kp ví nào cũng gọi được lên SC mà phải là operator của ví muốn start bot thì mới gọi được</t>
  </si>
  <si>
    <t xml:space="preserve">Nhóm 1 — Contracts tester tương tác trực tiếp (gọi hàm hoặc approve)</t>
  </si>
  <si>
    <t xml:space="preserve">1. USDC</t>
  </si>
  <si>
    <t xml:space="preserve">USDC trên Optimism</t>
  </si>
  <si>
    <t xml:space="preserve">https://sepolia-optimism.etherscan.io/address/0x8BF6C353143D6C68Ba4255b3C2c917A1BDa1C7f7#readContract</t>
  </si>
  <si>
    <t xml:space="preserve">USDC trên Arbitrum</t>
  </si>
  <si>
    <t xml:space="preserve">https://sepolia.arbiscan.io/address/0x4C2F87b29f2e157e442Fb735a4C0b257D9303a13#writeContract</t>
  </si>
  <si>
    <t xml:space="preserve">1. allowance(owner, spender): Dùng để xác nhận approve thành công trước khi deposit
2. balanceOf(address): Kiểm tra số dư trước/sau mỗi bước</t>
  </si>
  <si>
    <t xml:space="preserve">1. approve(spender, amount) - (spender = địa chỉ BnzaExVault proxy, ví dụ amount = 50_000_000 ($50)): gọi trước khi deposit</t>
  </si>
  <si>
    <t xml:space="preserve">2. BnzaExVault (Đây là contract trung tâm. Toàn bộ USDC user nạp vào đều đi qua đây. Vault giữ LP NFT thay mặt user, và là nơi user gọi để mở/đóng bot.)</t>
  </si>
  <si>
    <t xml:space="preserve">Optimism</t>
  </si>
  <si>
    <t xml:space="preserve">https://sepolia-optimism.etherscan.io/address/0x0bd88B5f2d183A8cFC7D7CC83990A712D49fcDFD#writeProxyContract</t>
  </si>
  <si>
    <t xml:space="preserve">Arbitrum</t>
  </si>
  <si>
    <t xml:space="preserve">https://sepolia.arbiscan.io/address/0xa275fdD42079fe3FcF1f9EdC97b5592aA65F9598#writeProxyContract</t>
  </si>
  <si>
    <t xml:space="preserve">3. deployedCapital(user, botId): Kiểm tra vốn đang được deploy vào LP — phải &gt; 0 sau bot start
6. getRegisteredStrategy(strategy): Xác nhận strategy (OpenPosition, Redeem...) đã được đăng ký
- trước khi test bot start hoặc close, gọi hàm này với địa chỉ của OpenPositionStrategyV1 và RedeemStrategyV1 để xác nhận cả 2 đã được đăng ký. Nếu trả về rỗng hoặc không hợp lệ → strategy chưa được admin registerStrategy → bot start sẽ fail.
12. isAuthorizedOperator(account): Xác nhận ExBot Lambda/operator có quyền gọi executeStrategy
- chỉ check đúng 1 câu hỏi: "địa chỉ này có phải operator được phép gọi executeStrategy không?"
- trước khi test bot start, gọi với address của ExBot Lambda. Nếu trả về false thì mọi lần hệ thống gọi executeStrategy đều sẽ revert — đây là điều kiện tiên quyết phải pass.
18. wlMasterOf(user, botId): Trả về địa chỉ HL WL master key đang được gán cho bot này. Master key là key dùng để ký lệnh giao dịch trên Hyperliquid thay mặt user.
- Vòng đời:
  + Trước bot start → trả về 0x000...000 (chưa có)
  + Sau bot start thành công → trả về địa chỉ key thực (do AWS KMS tạo, ExBot Lambda gán qua setBotWlMaster)
  + Sau close bot → trả về 0x000...000 (đã unset qua unsetBotWlMaster)
- dùng để xác nhận 2 điều: (1) key đã được gán sau bot start, (2) key đã bị xóa sau close — nếu close xong mà vẫn còn key thì là bug.</t>
  </si>
  <si>
    <t xml:space="preserve">1. deposit(botId, amount): Deposit USDC — gọi trước bot start
22. withdraw(botId, amount): Rút USDC chưa deploy (unspentBalance) — test case rút tiền trước khi bot start</t>
  </si>
  <si>
    <t xml:space="preserve">Các hàm hệ thống gọi</t>
  </si>
  <si>
    <t xml:space="preserve">4. executeStrategy(strategy, user, botId, params)</t>
  </si>
  <si>
    <t xml:space="preserve">Đây là hàm trung tâm của BnzaExVault — vault dùng hàm này để "uỷ quyền" cho một strategy contract thực thi thao tác trên LP.
Ai gọi: ExBot Lambda (operator), không phải user.
Cơ chế: Vault kiểm tra isAllowedStrategy(strategy) trước, nếu strategy chưa đăng ký thì revert ngay. Sau đó vault gọi vào strategy contract, strategy tương tác với Uniswap V3 (qua BnzaExPositionManager) và kéo token ra vào vault qua pullTokenForStrategy.
4 lần hàm này được gọi trong luồng ExBot:</t>
  </si>
  <si>
    <t xml:space="preserve">Thời điểm</t>
  </si>
  <si>
    <t xml:space="preserve">Strategy được truyền vào</t>
  </si>
  <si>
    <t xml:space="preserve">Việc xảy ra</t>
  </si>
  <si>
    <t xml:space="preserve">Bot start</t>
  </si>
  <si>
    <t xml:space="preserve">OpenPositionStrategyV1</t>
  </si>
  <si>
    <t xml:space="preserve">Mở LP position trên Uniswap V3</t>
  </si>
  <si>
    <t xml:space="preserve">LP rebalance</t>
  </si>
  <si>
    <t xml:space="preserve">RebalanceStrategyV1</t>
  </si>
  <si>
    <t xml:space="preserve">Đóng LP cũ, mở LP mới ở range mới</t>
  </si>
  <si>
    <t xml:space="preserve">Close bot</t>
  </si>
  <si>
    <t xml:space="preserve">RedeemStrategyV1</t>
  </si>
  <si>
    <t xml:space="preserve">Đóng LP, thu hồi USDC + phí về vault</t>
  </si>
  <si>
    <t xml:space="preserve">Collect fee</t>
  </si>
  <si>
    <t xml:space="preserve">CollectFeeStrategyV1</t>
  </si>
  <si>
    <t xml:space="preserve">Thu phí LP tích lũy mà không đóng position</t>
  </si>
  <si>
    <t xml:space="preserve">Tester xác nhận bằng cách nào: Không gọi trực tiếp, nhưng sau mỗi sự kiện trên, check event PositionOpened / PositionClosed / PositionRebalanced trên BnzaExPositionManager, và đọc lại deployedCapital để xác nhận vốn đã thay đổi đúng.</t>
  </si>
  <si>
    <t xml:space="preserve">7. notifyPositionCapitalChange(user, botId, input, deployedAmount, change)</t>
  </si>
  <si>
    <t xml:space="preserve">Hàm này là cơ chế để BnzaExPositionManager báo ngược lại cho vault rằng vốn trong LP đã thay đổi.
Tại sao cần hàm này: Vault không tự biết LP trị giá bao nhiêu tại mọi thời điểm. Khi strategy chạy xong, PositionManager tính toán số vốn thực tế đang deploy và gọi hàm này để cập nhật vault.
Tham số:
input: số USDC đưa vào LP
deployedAmount: số USDC thực tế đang nằm trong LP sau thao tác
change: loại thay đổi (mở/đóng/rebalance) — dạng uint8 enum
Tester xác nhận: Đọc deployedCapital(user, botId) trước và sau khi strategy chạy — giá trị phải thay đổi tương ứng. Nếu deployedCapital không cập nhật → hàm này chưa được PositionManager gọi → bug trong luồng.</t>
  </si>
  <si>
    <t xml:space="preserve">9. payToUser(token, user, amount)</t>
  </si>
  <si>
    <t xml:space="preserve">Vault chuyển token về ví user. Đây là bước cuối cùng trong luồng hoàn tiền — sau khi LP đã đóng và USDC đã về vault, operator gọi hàm này để chuyển tiền thực sự ra ví user.
Ai gọi: Operator (ExBot Lambda).
Quan trọng: Hàm này chỉ chuyển phần LP portion (tiền từ vault). Phần HL portion (margin + PnL từ HL) đi qua RedemptionQueue.fulfillRequest riêng — hai luồng hoàn tiền này độc lập nhau.
Tester xác nhận:
balanceOf(ví_tester) trên MockUSDC tăng sau khi hàm này chạy
Event Transfer(from=BnzaExVault, to=tester, value=...) xuất hiện trên explorer</t>
  </si>
  <si>
    <t xml:space="preserve">10. pullTokenForStrategy(user, botId, token, amount)</t>
  </si>
  <si>
    <t xml:space="preserve">Khi strategy cần USDC để thực hiện thao tác (ví dụ mở LP), strategy không tự lấy tiền từ ví user — thay vào đó vault kéo token từ unspentBalance ra và đưa cho strategy qua hàm này.
Ai gọi: Strategy contract (OpenPositionStrategyV1, RebalanceStrategyV1), được gọi trong context của executeStrategy.
Luồng tiền cụ thể:
unspentBalance ($50) 
  → pullTokenForStrategy 
  → strategy dùng USDC mở LP 
  → deployedCapital = $50, unspentBalance = $0
Tester xác nhận: Sau bot start, đọc cả hai:
unspentBalance(user, botId) → phải = 0
deployedCapital(user, botId) → phải = 50_000_000
Nếu unspentBalance vẫn còn sau khi bot start → pullTokenForStrategy chưa chạy → LP chưa được mở.</t>
  </si>
  <si>
    <t xml:space="preserve">17. setBotWlMaster(user, botId, master) và 21. unsetBotWlMaster(user, botId)</t>
  </si>
  <si>
    <t xml:space="preserve">Hai hàm này quản lý HL WL master key — địa chỉ key dùng để ký lệnh trên Hyperliquid thay mặt user.
setBotWlMaster được gọi bởi ExBot Lambda sau khi AWS KMS tạo xong key pair và bot sắp start. Vault lưu mapping user + botId → master address.
unsetBotWlMaster được gọi sau khi close bot — xóa mapping để key không còn hiệu lực, tránh key cũ bị dùng lại.
Tại sao vault cần lưu cái này: Vault là nơi duy nhất trên chain biết key nào đang được dùng cho bot nào. Các contract khác có thể query wlMasterOf(user, botId) để xác minh tính hợp lệ của một lệnh ký.
Tester xác nhận theo vòng đời:</t>
  </si>
  <si>
    <t xml:space="preserve">wlMasterOf(user, botId) phải trả về</t>
  </si>
  <si>
    <t xml:space="preserve">Trước bot start</t>
  </si>
  <si>
    <t xml:space="preserve">0x000...000</t>
  </si>
  <si>
    <t xml:space="preserve">Sau bot start</t>
  </si>
  <si>
    <t xml:space="preserve">Địa chỉ key thực (khác 0x000...)</t>
  </si>
  <si>
    <t xml:space="preserve">Sau close bot</t>
  </si>
  <si>
    <t xml:space="preserve">Nếu sau close bot vẫn còn key → unsetBotWlMaster chưa được gọi → đây là bug bảo mật.
</t>
  </si>
  <si>
    <t xml:space="preserve">3. emergencyTransfer(user, botId)</t>
  </si>
  <si>
    <t xml:space="preserve">Hàm thoát khẩn cấp — chuyển toàn bộ unspentBalance của user về ví họ ngay lập tức, bỏ qua mọi luồng thông thường.
Ai gọi: Địa chỉ có isAuthorizedEmergency = true — không phải user, không phải operator thông thường.
Khi nào dùng: Chỉ trong tình huống khẩn cấp: vault bị lỗi nghiêm trọng, hệ thống không thể xử lý withdraw bình thường, hoặc cần giải phóng tiền user ngay lập tức.
Lưu ý quan trọng: Hàm này chỉ chuyển unspentBalance — tức là tiền chưa deploy. Tiền đang trong LP (deployedCapital) không bị ảnh hưởng vì LP nằm trên Uniswap V3 chain, vault không thể tự ý rút ra nếu không qua strategy.
Tester xác nhận: Sau emergencyTransfer:
unspentBalance(user, botId) = 0
balanceOf(ví_user) tăng đúng bằng số unspentBalance trước đó
deployedCapital không thay đổi</t>
  </si>
  <si>
    <t xml:space="preserve">3. RedemptionQueue — Hàng đợi hoàn tiền HL portion</t>
  </si>
  <si>
    <t xml:space="preserve">Sau khi LP đóng, phần tiền từ HL (margin + PnL short) không trả trực tiếp mà đi qua hàng đợi này. Operator gọi fulfillRequest để thực sự chuyển tiền về ví user.</t>
  </si>
  <si>
    <t xml:space="preserve">https://sepolia-optimism.etherscan.io/address/0xa5Ef69C0af6a87693eFb60d37e74005efc129F3d#readProxyContract</t>
  </si>
  <si>
    <t xml:space="preserve">https://sepolia.arbiscan.io/address/0x36FD545018B136518f0f651A7B639A89765b7b9F#writeProxyContract</t>
  </si>
  <si>
    <t xml:space="preserve">2. getRequest(requestId): Đọc chi tiết 1 request theo ID: user, botId, token, amount, trạng thái. Dùng để xác nhận request đã được tạo đúng sau close bot
4. hasRole(role, account): Xác nhận operator có quyền gọi createRequest và fulfillRequest không
5. nextPendingRequestId: ID của request tiếp theo sẽ được fulfill. Hiện tại = 0 nghĩa là queue trống. Sau createRequest giá trị này tăng lên — dùng để biết request nào đang chờ xử lý</t>
  </si>
  <si>
    <t xml:space="preserve">1. createRequest(user, botId, positionId, hlPortionId)
Tạo một yêu cầu hoàn tiền HL portion vào queue.
Ai gọi: ExBot Lambda (operator), được gọi tự động sau khi LP đóng thành công trong luồng bot_safe_close hoặc user_redeem
- 4 tham số:
user: địa chỉ ví tester cần nhận tiền
botId: ID của bot vừa đóng
positionId: ID của LP NFT vừa được thanh lý
hlPortionId: ID định danh phần HL (margin + PnL short) cần trả về
- Tester xác nhận sau khi hàm này chạy:
pendingQueueLength tăng từ 0 → 1
nextPendingRequestId tăng lên
getRequest(requestId) trả về đúng user, botId, amount tương ứng
Event RequestCreated xuất hiện trên explorer
</t>
  </si>
  <si>
    <t xml:space="preserve">2. fulfillRequest(fulfillments)
Thực sự chuyển HL portion USDC về ví user. Đây là bước cuối cùng của toàn bộ luồng close bot.
Ai gọi: Operator (ExBot Lambda hoặc admin thủ công)
Tham số: fulfillments kiểu tuple[] — mỗi tuple chứa (requestId, token, amount) cho phép fulfill nhiều request trong 1 transaction
Cơ chế FIFO: Queue xử lý theo thứ tự vào trước ra trước — request tạo trước phải được fulfill trước, không được bỏ qua
- Tester xác nhận sau khi hàm này chạy:
pendingQueueLength giảm về 0
balanceOf(ví_tester) trên MockUSDC tăng đúng bằng HL portion
Event RequestFulfilled xuất hiện trên explorer
getRequest(requestId) cập nhật trạng thái = fulfilled</t>
  </si>
  <si>
    <t xml:space="preserve">Nhóm 2 — Contracts hệ thống gọi, tester chỉ cần xác nhận kết quả</t>
  </si>
  <si>
    <t xml:space="preserve">4. BnzaExPositionManager — Quản lý LP position trên Uniswap V3 </t>
  </si>
  <si>
    <t xml:space="preserve">Contract này thực thi các thao tác Uniswap thay mặt vault: mở LP, đóng LP, rebalance, collect fee. Tester không gọi trực tiếp nhưng cần xác nhận LP NFT tồn tại trên contract này sau khi bot start.</t>
  </si>
  <si>
    <t xml:space="preserve">https://sepolia-optimism.etherscan.io/address/0x158C6f9Bc83512e897725D3eDcC1887e18FB164F#writeProxyContract</t>
  </si>
  <si>
    <t xml:space="preserve">https://sepolia.arbiscan.io/address/0x1dD0c8DeeD006e7285c268E19eb8c41625B4914D#writeProxyContract</t>
  </si>
  <si>
    <t xml:space="preserve">2. activeTokenId(user, botId): Lấy tokenId của LP NFT đang active. Dùng làm đầu vào cho nhiều hàm khác. Sau bot start phải có giá trị khác 0
4. deployedCapitalForPosition(tokenId): Xem vốn đang deploy trong LP theo tokenId. Phải &gt; 0 sau bot start, = 0 sau close
7. getBotPositionOpenCount(user, botId): Số position đang mở hiện tại. Phải = 1 khi bot active, = 0 sau close
8. getPosition(tokenId): Đọc toàn bộ thông tin LP position: pool, tickLower, tickUpper, liquidity, trạng thái. Dùng để xác nhận range LP đúng ±5%
9. getPositionDeployment(user, botId, positionId): Chi tiết vốn deploy cho 1 position cụ thể: totalUsdc, uniswapUsdc, hyperliquidUsdc
10. getPositionIdForToken(tokenId): Mapping từ Uniswap NFT tokenId → positionId nội bộ của hệ thống
14. ownerOf(tokenId): Xác nhận LP NFT đang thuộc về ai. Sau bot start phải = BnzaExVault proxy address, không phải ví tester</t>
  </si>
  <si>
    <t xml:space="preserve">5. recordPositionOpened(tokenId, owner_, botId, pool, tickLower, tickUpper, liquidity, totalUsdc, uniswapUsdc, hyperliquidUsdc)
Hàm quan trọng nhất trong contract này. Được gọi bởi strategy (OpenPositionStrategyV1 hoặc RebalanceStrategyV1) ngay sau khi LP NFT được mint trên Uniswap V3 — để PositionManager ghi nhận position mới vào sổ sách nội bộ.
- Tham số đáng chú ý:
tickLower / tickUpper: biên range của LP — tester xác nhận tương ứng với ±5% quanh giá ETH hiện tại
totalUsdc: tổng vốn deploy = uniswapUsdc + hyperliquidUsdc
uniswapUsdc: phần vốn thực tế đưa vào Uniswap pool
hyperliquidUsdc: phần vốn tương ứng với hedge trên HL (hệ thống ghi nhận để tracking, không phải chuyển tiền)
- Tester xác nhận sau khi chạy:
getBotPositionOpenCount(user, botId) = 1
getPosition(tokenId) trả về đúng tickLower, tickUpper, liquidity
ownerOf(tokenId) = BnzaExVault proxy address
Event PositionOpened xuất hiện trên explorer</t>
  </si>
  <si>
    <t xml:space="preserve">4. recordPositionClosed(tokenId, owner_)
Đánh dấu một LP position đã đóng trong sổ sách nội bộ — được gọi bởi RedeemStrategyV1 sau khi LP đã được thanh lý trên Uniswap.
- Tester xác nhận sau khi chạy:
getBotPositionOpenCount(user, botId) = 0
deployedCapitalForPosition(tokenId) = 0
activeTokenId(user, botId) = 0
Event PositionClosed xuất hiện trên explorer</t>
  </si>
  <si>
    <t xml:space="preserve">12. updatePosition(tokenId, tickLower, tickUpper, liquidity)
Cập nhật thông tin LP position khi có thay đổi — được gọi bởi RebalanceStrategyV1 sau khi rebalance (mở lại LP ở range mới).
- Tester xác nhận sau rebalance:
getPosition(tokenId) trả về tickLower/tickUpper mới tương ứng với range ±5% quanh giá ETH hiện tại
liquidity cập nhật đúng theo lượng vốn mới</t>
  </si>
  <si>
    <t xml:space="preserve">10. transferPosition(oldTokenId, newTokenId, owner_)
Chuyển sổ sách từ tokenId cũ sang tokenId mới — dùng trong luồng rebalance khi LP NFT cũ bị burn và NFT mới được mint.
- Tester xác nhận sau rebalance:
activeTokenId(user, botId) = newTokenId (khác với tokenId trước rebalance)
ownerOf(newTokenId) = BnzaExVault proxy
isBotPosition(user, botId, oldTokenId) = false
isBotPosition(user, botId, newTokenId) = true</t>
  </si>
  <si>
    <t xml:space="preserve">11. unregisterPosition(tokenId)
Xóa hoàn toàn một position khỏi sổ sách — gọi sau khi position đã đóng và không cần tracking nữa.
- Tester xác nhận:
getPosition(tokenId) trả về rỗng sau khi unregister
botIdForToken(tokenId) = 0</t>
  </si>
  <si>
    <t xml:space="preserve">6. releaseNft(tokenId, to)
Chuyển LP NFT ra khỏi PositionManager về một địa chỉ khác. Dùng trong trường hợp đặc biệt — ví dụ emergency hoặc khi cần trả NFT về cho user.
- Tester xác nhận:
ownerOf(tokenId) thay đổi sang địa chỉ to sau khi gọi</t>
  </si>
  <si>
    <t xml:space="preserve">5. TokenRouter</t>
  </si>
  <si>
    <t xml:space="preserve">Contract này xử lý việc chuyển token giữa các bước trong luồng (ví dụ: từ vault sang strategy). Là phần của kiến trúc "unified pullTokenForStrategy API" được đề cập trong file. Tester không cần tương tác trực tiếp.</t>
  </si>
  <si>
    <t xml:space="preserve">https://sepolia-optimism.etherscan.io/address/0x9335489b50F550653ec9Fd0C2fF7De8661C56b51#readProxyContract</t>
  </si>
  <si>
    <t xml:space="preserve">https://sepolia.arbiscan.io/address/0x4359b44B0e3096e3b85D3b8A5A34Fe7121E460C0#writeProxyContract</t>
  </si>
  <si>
    <t xml:space="preserve">1. depositToken(token, amount)
Nạp token (thường là USDC phí) vào TokenRouter để phân phối. Được gọi bởi strategy (RedeemStrategyV1) sau khi LP đóng và phí đã được tách ra.
Ai gọi: Strategy contract thông qua BnzaExVault
Luồng phí cụ thể:
LP đóng → thu hồi USDC
  → RedeemStrategyV1 tách performance fee (30% gross PnL)
  → depositToken(MockUSDC, feeAmount) vào TokenRouter
  → availableToWithdraw tăng lên
Tester xác nhận: Sau close bot có lãi, đọc availableToWithdraw(MockUSDC) — phải &gt; 0 nếu có PnL dương</t>
  </si>
  <si>
    <t xml:space="preserve">9. withdrawToken(token, amount)
Rút token từ TokenRouter về depositTokenRecipient — tức là chuyển phí tích lũy về đích nhận cuối cùng (ví performance fee recipient).
Ai gọi: Operator hoặc admin
Tester xác nhận: Sau withdrawToken:
availableToWithdraw(MockUSDC) giảm về 0
balanceOf(depositTokenRecipient) tăng đúng số phí</t>
  </si>
  <si>
    <t xml:space="preserve">Nhóm 3 — Strategies (được gọi qua executeStrategy)</t>
  </si>
  <si>
    <t xml:space="preserve">Mỗi strategy là một contract riêng, thực thi một loại thao tác cụ thể. BnzaExVault gọi executeStrategy(strategyAddress, ...) để kích hoạt.</t>
  </si>
  <si>
    <t xml:space="preserve">Strategy</t>
  </si>
  <si>
    <t xml:space="preserve">Mục đích</t>
  </si>
  <si>
    <t xml:space="preserve">Khi nào chạy</t>
  </si>
  <si>
    <t xml:space="preserve">Đóng LP, thu hồi USDC + phí</t>
  </si>
  <si>
    <t xml:space="preserve">User Redeem, Bot Safe Close</t>
  </si>
  <si>
    <t xml:space="preserve">LP rebalance (sau range_boundary_near)</t>
  </si>
  <si>
    <t xml:space="preserve">Thu phí LP mà không đóng position</t>
  </si>
  <si>
    <t xml:space="preserve">Deep audit / fee collection</t>
  </si>
  <si>
    <t xml:space="preserve">Địa chỉ trên Optimism Sepolia:</t>
  </si>
  <si>
    <t xml:space="preserve">OpenPositionStrategyV1: 0x33A9a1e8194023EC32A692590C51dc6366aA6E99</t>
  </si>
  <si>
    <t xml:space="preserve">RedeemStrategyV1: 0x560CB02a8B69cB3f5BDF31944C3B4D1e22CfA3C7</t>
  </si>
  <si>
    <t xml:space="preserve">RebalanceStrategyV1: 0xA048981C3188656660591Ea9099C4157681E3454</t>
  </si>
  <si>
    <t xml:space="preserve">CollectFeeStrategyV1: 0xD8E24167968420B48dEf8627001424950C347342</t>
  </si>
  <si>
    <t xml:space="preserve">Tester xác nhận bằng cách: sau mỗi thao tác, check event trên BnzaExPositionManager (vì strategy tương tác với PositionManager, không emit event trực tiếp ra ngoài).</t>
  </si>
</sst>
</file>

<file path=xl/styles.xml><?xml version="1.0" encoding="utf-8"?>
<styleSheet xmlns="http://schemas.openxmlformats.org/spreadsheetml/2006/main">
  <numFmts count="1">
    <numFmt numFmtId="164" formatCode="General"/>
  </numFmts>
  <fonts count="16">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sz val="11"/>
      <color theme="1"/>
      <name val="Arial"/>
      <family val="0"/>
      <charset val="1"/>
    </font>
    <font>
      <b val="true"/>
      <sz val="11"/>
      <color theme="1"/>
      <name val="Times New Roman"/>
      <family val="0"/>
      <charset val="1"/>
    </font>
    <font>
      <sz val="11"/>
      <color theme="1"/>
      <name val="Times New Roman"/>
      <family val="0"/>
      <charset val="1"/>
    </font>
    <font>
      <sz val="11"/>
      <color rgb="FFFF0000"/>
      <name val="Times New Roman"/>
      <family val="0"/>
      <charset val="1"/>
    </font>
    <font>
      <sz val="11"/>
      <color rgb="FFFF0000"/>
      <name val="Arial"/>
      <family val="0"/>
      <charset val="1"/>
    </font>
    <font>
      <b val="true"/>
      <sz val="12"/>
      <color theme="1"/>
      <name val="Arial"/>
      <family val="0"/>
      <charset val="1"/>
    </font>
    <font>
      <sz val="12"/>
      <color theme="1"/>
      <name val="Arial"/>
      <family val="0"/>
      <charset val="1"/>
    </font>
    <font>
      <b val="true"/>
      <sz val="11"/>
      <color rgb="FFFFFFFF"/>
      <name val="Arial"/>
      <family val="0"/>
      <charset val="1"/>
    </font>
    <font>
      <sz val="11"/>
      <color rgb="FF000000"/>
      <name val="Arial"/>
      <family val="0"/>
      <charset val="1"/>
    </font>
    <font>
      <u val="single"/>
      <sz val="11"/>
      <color rgb="FF0000FF"/>
      <name val="Arial"/>
      <family val="0"/>
      <charset val="1"/>
    </font>
    <font>
      <b val="true"/>
      <sz val="11"/>
      <color rgb="FF000000"/>
      <name val="Arial"/>
      <family val="0"/>
      <charset val="1"/>
    </font>
  </fonts>
  <fills count="11">
    <fill>
      <patternFill patternType="none"/>
    </fill>
    <fill>
      <patternFill patternType="gray125"/>
    </fill>
    <fill>
      <patternFill patternType="solid">
        <fgColor rgb="FFCCCCCC"/>
        <bgColor rgb="FFD0E0E3"/>
      </patternFill>
    </fill>
    <fill>
      <patternFill patternType="solid">
        <fgColor rgb="FFFFF2CC"/>
        <bgColor rgb="FFEFEFEF"/>
      </patternFill>
    </fill>
    <fill>
      <patternFill patternType="solid">
        <fgColor rgb="FFF4CCCC"/>
        <bgColor rgb="FFCCCCCC"/>
      </patternFill>
    </fill>
    <fill>
      <patternFill patternType="solid">
        <fgColor rgb="FFFFD966"/>
        <bgColor rgb="FFFFCC00"/>
      </patternFill>
    </fill>
    <fill>
      <patternFill patternType="solid">
        <fgColor rgb="FFEFEFEF"/>
        <bgColor rgb="FFFFF2CC"/>
      </patternFill>
    </fill>
    <fill>
      <patternFill patternType="solid">
        <fgColor rgb="FFD0E0E3"/>
        <bgColor rgb="FFD9E2F3"/>
      </patternFill>
    </fill>
    <fill>
      <patternFill patternType="solid">
        <fgColor rgb="FF4472C4"/>
        <bgColor rgb="FF666699"/>
      </patternFill>
    </fill>
    <fill>
      <patternFill patternType="solid">
        <fgColor rgb="FFD9E2F3"/>
        <bgColor rgb="FFD0E0E3"/>
      </patternFill>
    </fill>
    <fill>
      <patternFill patternType="solid">
        <fgColor rgb="FFFFFFFF"/>
        <bgColor rgb="FFEFEFEF"/>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color rgb="FF454545"/>
      </left>
      <right style="thin">
        <color rgb="FF454545"/>
      </right>
      <top style="thin">
        <color rgb="FF454545"/>
      </top>
      <bottom style="thin">
        <color rgb="FF45454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general" vertical="center" textRotation="0" wrapText="false" indent="0" shrinkToFit="false"/>
      <protection locked="true" hidden="false"/>
    </xf>
    <xf numFmtId="164" fontId="5" fillId="4" borderId="0" xfId="0" applyFont="true" applyBorder="false" applyAlignment="true" applyProtection="false">
      <alignment horizontal="general" vertical="center" textRotation="0" wrapText="true" indent="0" shrinkToFit="false"/>
      <protection locked="true" hidden="false"/>
    </xf>
    <xf numFmtId="164" fontId="10" fillId="5" borderId="1"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general" vertical="center" textRotation="0" wrapText="false" indent="0" shrinkToFit="false"/>
      <protection locked="true" hidden="false"/>
    </xf>
    <xf numFmtId="164" fontId="5" fillId="3" borderId="1" xfId="0" applyFont="true" applyBorder="true" applyAlignment="true" applyProtection="false">
      <alignment horizontal="general" vertical="center" textRotation="0" wrapText="false" indent="0" shrinkToFit="false"/>
      <protection locked="true" hidden="false"/>
    </xf>
    <xf numFmtId="164" fontId="11" fillId="6" borderId="1" xfId="0" applyFont="true" applyBorder="true" applyAlignment="true" applyProtection="false">
      <alignment horizontal="general" vertical="center" textRotation="0" wrapText="true" indent="0" shrinkToFit="false"/>
      <protection locked="true" hidden="false"/>
    </xf>
    <xf numFmtId="164" fontId="11" fillId="6" borderId="1" xfId="0" applyFont="true" applyBorder="true" applyAlignment="true" applyProtection="false">
      <alignment horizontal="right" vertical="center" textRotation="0" wrapText="true" indent="0" shrinkToFit="false"/>
      <protection locked="true" hidden="false"/>
    </xf>
    <xf numFmtId="164" fontId="11" fillId="7" borderId="1" xfId="0" applyFont="true" applyBorder="true" applyAlignment="true" applyProtection="false">
      <alignment horizontal="general" vertical="center" textRotation="0" wrapText="true" indent="0" shrinkToFit="false"/>
      <protection locked="true" hidden="false"/>
    </xf>
    <xf numFmtId="164" fontId="11" fillId="7" borderId="1" xfId="0" applyFont="true" applyBorder="true" applyAlignment="true" applyProtection="false">
      <alignment horizontal="right" vertical="center" textRotation="0" wrapText="true" indent="0" shrinkToFit="false"/>
      <protection locked="true" hidden="false"/>
    </xf>
    <xf numFmtId="164" fontId="12" fillId="8" borderId="1" xfId="0" applyFont="true" applyBorder="true" applyAlignment="true" applyProtection="false">
      <alignment horizontal="center" vertical="bottom" textRotation="0" wrapText="false" indent="0" shrinkToFit="false"/>
      <protection locked="true" hidden="false"/>
    </xf>
    <xf numFmtId="164" fontId="12" fillId="8" borderId="1" xfId="0" applyFont="true" applyBorder="true" applyAlignment="true" applyProtection="false">
      <alignment horizontal="center" vertical="bottom" textRotation="0" wrapText="true" indent="0" shrinkToFit="false"/>
      <protection locked="true" hidden="false"/>
    </xf>
    <xf numFmtId="164" fontId="4" fillId="9" borderId="0" xfId="0" applyFont="true" applyBorder="true" applyAlignment="true" applyProtection="false">
      <alignment horizontal="left"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15" fillId="10" borderId="2" xfId="0" applyFont="true" applyBorder="true" applyAlignment="true" applyProtection="false">
      <alignment horizontal="center" vertical="bottom" textRotation="0" wrapText="false" indent="0" shrinkToFit="false"/>
      <protection locked="true" hidden="false"/>
    </xf>
    <xf numFmtId="164" fontId="13" fillId="10" borderId="0" xfId="0" applyFont="true" applyBorder="false" applyAlignment="true" applyProtection="false">
      <alignment horizontal="general" vertical="center" textRotation="0" wrapText="true" indent="0" shrinkToFit="false"/>
      <protection locked="true" hidden="false"/>
    </xf>
    <xf numFmtId="164" fontId="13" fillId="10" borderId="2" xfId="0" applyFont="true" applyBorder="true" applyAlignment="true" applyProtection="false">
      <alignment horizontal="general" vertical="bottom" textRotation="0" wrapText="false" indent="0" shrinkToFit="false"/>
      <protection locked="true" hidden="false"/>
    </xf>
    <xf numFmtId="164" fontId="13" fillId="10" borderId="0" xfId="0" applyFont="true" applyBorder="true" applyAlignment="true" applyProtection="false">
      <alignment horizontal="general" vertical="bottom" textRotation="0" wrapText="true" indent="0" shrinkToFit="false"/>
      <protection locked="true" hidden="false"/>
    </xf>
    <xf numFmtId="164" fontId="13" fillId="10" borderId="0" xfId="0" applyFont="true" applyBorder="false" applyAlignment="true" applyProtection="false">
      <alignment horizontal="general" vertical="bottom" textRotation="0" wrapText="false" indent="0" shrinkToFit="false"/>
      <protection locked="true" hidden="false"/>
    </xf>
    <xf numFmtId="164" fontId="13" fillId="10" borderId="0" xfId="0" applyFont="true" applyBorder="false" applyAlignment="true" applyProtection="false">
      <alignment horizontal="general" vertical="bottom" textRotation="0" wrapText="true" indent="0" shrinkToFit="false"/>
      <protection locked="true" hidden="false"/>
    </xf>
    <xf numFmtId="164" fontId="15" fillId="10" borderId="2" xfId="0" applyFont="true" applyBorder="true" applyAlignment="true" applyProtection="false">
      <alignment horizontal="center" vertical="center" textRotation="0" wrapText="true" indent="0" shrinkToFit="false"/>
      <protection locked="true" hidden="false"/>
    </xf>
    <xf numFmtId="164" fontId="13" fillId="10" borderId="2"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EFEFEF"/>
      <rgbColor rgb="FF660066"/>
      <rgbColor rgb="FFFF8080"/>
      <rgbColor rgb="FF0066CC"/>
      <rgbColor rgb="FFD0E0E3"/>
      <rgbColor rgb="FF000080"/>
      <rgbColor rgb="FFFF00FF"/>
      <rgbColor rgb="FFFFFF00"/>
      <rgbColor rgb="FF00FFFF"/>
      <rgbColor rgb="FF800080"/>
      <rgbColor rgb="FF800000"/>
      <rgbColor rgb="FF008080"/>
      <rgbColor rgb="FF0000FF"/>
      <rgbColor rgb="FF00CCFF"/>
      <rgbColor rgb="FFD9E2F3"/>
      <rgbColor rgb="FFCCFFCC"/>
      <rgbColor rgb="FFFFD966"/>
      <rgbColor rgb="FF99CCFF"/>
      <rgbColor rgb="FFFF99CC"/>
      <rgbColor rgb="FFCC99FF"/>
      <rgbColor rgb="FFF4CCCC"/>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5454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
</Relationships>
</file>

<file path=xl/drawings/_rels/drawing2.xml.rels><?xml version="1.0" encoding="UTF-8"?>
<Relationships xmlns="http://schemas.openxmlformats.org/package/2006/relationships"><Relationship Id="rId1"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39960</xdr:colOff>
      <xdr:row>2</xdr:row>
      <xdr:rowOff>195840</xdr:rowOff>
    </xdr:from>
    <xdr:to>
      <xdr:col>5</xdr:col>
      <xdr:colOff>109440</xdr:colOff>
      <xdr:row>3</xdr:row>
      <xdr:rowOff>366120</xdr:rowOff>
    </xdr:to>
    <xdr:pic>
      <xdr:nvPicPr>
        <xdr:cNvPr id="0" name="image3.png" descr=""/>
        <xdr:cNvPicPr/>
      </xdr:nvPicPr>
      <xdr:blipFill>
        <a:blip r:embed="rId1"/>
        <a:stretch/>
      </xdr:blipFill>
      <xdr:spPr>
        <a:xfrm>
          <a:off x="533520" y="3000600"/>
          <a:ext cx="6114600" cy="1856880"/>
        </a:xfrm>
        <a:prstGeom prst="rect">
          <a:avLst/>
        </a:prstGeom>
        <a:ln w="0">
          <a:noFill/>
        </a:ln>
      </xdr:spPr>
    </xdr:pic>
    <xdr:clientData/>
  </xdr:twoCellAnchor>
  <xdr:twoCellAnchor editAs="oneCell">
    <xdr:from>
      <xdr:col>1</xdr:col>
      <xdr:colOff>0</xdr:colOff>
      <xdr:row>3</xdr:row>
      <xdr:rowOff>709200</xdr:rowOff>
    </xdr:from>
    <xdr:to>
      <xdr:col>5</xdr:col>
      <xdr:colOff>1631520</xdr:colOff>
      <xdr:row>8</xdr:row>
      <xdr:rowOff>136080</xdr:rowOff>
    </xdr:to>
    <xdr:pic>
      <xdr:nvPicPr>
        <xdr:cNvPr id="1" name="image7.png" descr=""/>
        <xdr:cNvPicPr/>
      </xdr:nvPicPr>
      <xdr:blipFill>
        <a:blip r:embed="rId2"/>
        <a:stretch/>
      </xdr:blipFill>
      <xdr:spPr>
        <a:xfrm>
          <a:off x="493560" y="5200560"/>
          <a:ext cx="7676640" cy="1761840"/>
        </a:xfrm>
        <a:prstGeom prst="rect">
          <a:avLst/>
        </a:prstGeom>
        <a:ln w="0">
          <a:noFill/>
        </a:ln>
      </xdr:spPr>
    </xdr:pic>
    <xdr:clientData/>
  </xdr:twoCellAnchor>
  <xdr:twoCellAnchor editAs="oneCell">
    <xdr:from>
      <xdr:col>5</xdr:col>
      <xdr:colOff>0</xdr:colOff>
      <xdr:row>2</xdr:row>
      <xdr:rowOff>395640</xdr:rowOff>
    </xdr:from>
    <xdr:to>
      <xdr:col>6</xdr:col>
      <xdr:colOff>1146600</xdr:colOff>
      <xdr:row>3</xdr:row>
      <xdr:rowOff>127800</xdr:rowOff>
    </xdr:to>
    <xdr:pic>
      <xdr:nvPicPr>
        <xdr:cNvPr id="2" name="image6.png" descr=""/>
        <xdr:cNvPicPr/>
      </xdr:nvPicPr>
      <xdr:blipFill>
        <a:blip r:embed="rId3"/>
        <a:stretch/>
      </xdr:blipFill>
      <xdr:spPr>
        <a:xfrm>
          <a:off x="6538680" y="3200400"/>
          <a:ext cx="3543120" cy="1418760"/>
        </a:xfrm>
        <a:prstGeom prst="rect">
          <a:avLst/>
        </a:prstGeom>
        <a:ln w="0">
          <a:noFill/>
        </a:ln>
      </xdr:spPr>
    </xdr:pic>
    <xdr:clientData/>
  </xdr:twoCellAnchor>
  <xdr:twoCellAnchor editAs="oneCell">
    <xdr:from>
      <xdr:col>5</xdr:col>
      <xdr:colOff>1495440</xdr:colOff>
      <xdr:row>3</xdr:row>
      <xdr:rowOff>366480</xdr:rowOff>
    </xdr:from>
    <xdr:to>
      <xdr:col>8</xdr:col>
      <xdr:colOff>230040</xdr:colOff>
      <xdr:row>14</xdr:row>
      <xdr:rowOff>31320</xdr:rowOff>
    </xdr:to>
    <xdr:pic>
      <xdr:nvPicPr>
        <xdr:cNvPr id="3" name="image5.png" descr=""/>
        <xdr:cNvPicPr/>
      </xdr:nvPicPr>
      <xdr:blipFill>
        <a:blip r:embed="rId4"/>
        <a:stretch/>
      </xdr:blipFill>
      <xdr:spPr>
        <a:xfrm>
          <a:off x="8034120" y="4857840"/>
          <a:ext cx="5924160" cy="3200040"/>
        </a:xfrm>
        <a:prstGeom prst="rect">
          <a:avLst/>
        </a:prstGeom>
        <a:ln w="0">
          <a:noFill/>
        </a:ln>
      </xdr:spPr>
    </xdr:pic>
    <xdr:clientData/>
  </xdr:twoCellAnchor>
  <xdr:twoCellAnchor editAs="oneCell">
    <xdr:from>
      <xdr:col>1</xdr:col>
      <xdr:colOff>39960</xdr:colOff>
      <xdr:row>9</xdr:row>
      <xdr:rowOff>165240</xdr:rowOff>
    </xdr:from>
    <xdr:to>
      <xdr:col>3</xdr:col>
      <xdr:colOff>1037880</xdr:colOff>
      <xdr:row>28</xdr:row>
      <xdr:rowOff>136440</xdr:rowOff>
    </xdr:to>
    <xdr:pic>
      <xdr:nvPicPr>
        <xdr:cNvPr id="4" name="image9.png" descr=""/>
        <xdr:cNvPicPr/>
      </xdr:nvPicPr>
      <xdr:blipFill>
        <a:blip r:embed="rId5"/>
        <a:stretch/>
      </xdr:blipFill>
      <xdr:spPr>
        <a:xfrm>
          <a:off x="533520" y="7191360"/>
          <a:ext cx="3924000" cy="3771720"/>
        </a:xfrm>
        <a:prstGeom prst="rect">
          <a:avLst/>
        </a:prstGeom>
        <a:ln w="0">
          <a:noFill/>
        </a:ln>
      </xdr:spPr>
    </xdr:pic>
    <xdr:clientData/>
  </xdr:twoCellAnchor>
  <xdr:twoCellAnchor editAs="oneCell">
    <xdr:from>
      <xdr:col>3</xdr:col>
      <xdr:colOff>942840</xdr:colOff>
      <xdr:row>11</xdr:row>
      <xdr:rowOff>117360</xdr:rowOff>
    </xdr:from>
    <xdr:to>
      <xdr:col>5</xdr:col>
      <xdr:colOff>1395360</xdr:colOff>
      <xdr:row>34</xdr:row>
      <xdr:rowOff>107640</xdr:rowOff>
    </xdr:to>
    <xdr:pic>
      <xdr:nvPicPr>
        <xdr:cNvPr id="5" name="image4.png" descr=""/>
        <xdr:cNvPicPr/>
      </xdr:nvPicPr>
      <xdr:blipFill>
        <a:blip r:embed="rId6"/>
        <a:stretch/>
      </xdr:blipFill>
      <xdr:spPr>
        <a:xfrm>
          <a:off x="4362480" y="7543800"/>
          <a:ext cx="3571560" cy="4590720"/>
        </a:xfrm>
        <a:prstGeom prst="rect">
          <a:avLst/>
        </a:prstGeom>
        <a:ln w="0">
          <a:noFill/>
        </a:ln>
      </xdr:spPr>
    </xdr:pic>
    <xdr:clientData/>
  </xdr:twoCellAnchor>
  <xdr:twoCellAnchor editAs="oneCell">
    <xdr:from>
      <xdr:col>5</xdr:col>
      <xdr:colOff>1324080</xdr:colOff>
      <xdr:row>16</xdr:row>
      <xdr:rowOff>107640</xdr:rowOff>
    </xdr:from>
    <xdr:to>
      <xdr:col>6</xdr:col>
      <xdr:colOff>2394360</xdr:colOff>
      <xdr:row>28</xdr:row>
      <xdr:rowOff>136080</xdr:rowOff>
    </xdr:to>
    <xdr:pic>
      <xdr:nvPicPr>
        <xdr:cNvPr id="6" name="image8.png" descr=""/>
        <xdr:cNvPicPr/>
      </xdr:nvPicPr>
      <xdr:blipFill>
        <a:blip r:embed="rId7"/>
        <a:stretch/>
      </xdr:blipFill>
      <xdr:spPr>
        <a:xfrm>
          <a:off x="7862760" y="8534160"/>
          <a:ext cx="3466800" cy="24285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3086280</xdr:colOff>
      <xdr:row>1</xdr:row>
      <xdr:rowOff>181080</xdr:rowOff>
    </xdr:from>
    <xdr:to>
      <xdr:col>9</xdr:col>
      <xdr:colOff>66600</xdr:colOff>
      <xdr:row>4</xdr:row>
      <xdr:rowOff>1111680</xdr:rowOff>
    </xdr:to>
    <xdr:pic>
      <xdr:nvPicPr>
        <xdr:cNvPr id="7" name="image10.png" descr=""/>
        <xdr:cNvPicPr/>
      </xdr:nvPicPr>
      <xdr:blipFill>
        <a:blip r:embed="rId1"/>
        <a:stretch/>
      </xdr:blipFill>
      <xdr:spPr>
        <a:xfrm>
          <a:off x="9722160" y="381240"/>
          <a:ext cx="5114520" cy="40478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sepolia-optimism.etherscan.io/address/0x8BF6C353143D6C68Ba4255b3C2c917A1BDa1C7f7" TargetMode="External"/><Relationship Id="rId2" Type="http://schemas.openxmlformats.org/officeDocument/2006/relationships/hyperlink" Target="https://sepolia.arbiscan.io/address/0x4C2F87b29f2e157e442Fb735a4C0b257D9303a13" TargetMode="External"/><Relationship Id="rId3" Type="http://schemas.openxmlformats.org/officeDocument/2006/relationships/hyperlink" Target="https://sepolia-optimism.etherscan.io/address/0x0bd88B5f2d183A8cFC7D7CC83990A712D49fcDFD" TargetMode="External"/><Relationship Id="rId4" Type="http://schemas.openxmlformats.org/officeDocument/2006/relationships/hyperlink" Target="https://sepolia.arbiscan.io/address/0xa275fdD42079fe3FcF1f9EdC97b5592aA65F9598" TargetMode="External"/><Relationship Id="rId5" Type="http://schemas.openxmlformats.org/officeDocument/2006/relationships/hyperlink" Target="https://sepolia-optimism.etherscan.io/address/0xa5Ef69C0af6a87693eFb60d37e74005efc129F3d" TargetMode="External"/><Relationship Id="rId6" Type="http://schemas.openxmlformats.org/officeDocument/2006/relationships/hyperlink" Target="https://sepolia.arbiscan.io/address/0x36FD545018B136518f0f651A7B639A89765b7b9F" TargetMode="External"/><Relationship Id="rId7" Type="http://schemas.openxmlformats.org/officeDocument/2006/relationships/hyperlink" Target="https://sepolia-optimism.etherscan.io/address/0x158C6f9Bc83512e897725D3eDcC1887e18FB164F" TargetMode="External"/><Relationship Id="rId8" Type="http://schemas.openxmlformats.org/officeDocument/2006/relationships/hyperlink" Target="https://sepolia.arbiscan.io/address/0x1dD0c8DeeD006e7285c268E19eb8c41625B4914D" TargetMode="External"/><Relationship Id="rId9" Type="http://schemas.openxmlformats.org/officeDocument/2006/relationships/hyperlink" Target="https://sepolia-optimism.etherscan.io/address/0x9335489b50F550653ec9Fd0C2fF7De8661C56b51" TargetMode="External"/><Relationship Id="rId10" Type="http://schemas.openxmlformats.org/officeDocument/2006/relationships/hyperlink" Target="https://sepolia.arbiscan.io/address/0x1dD0c8DeeD006e7285c268E19eb8c41625B4914D"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36.88"/>
    <col collapsed="false" customWidth="true" hidden="false" outlineLevel="0" max="3" min="3" style="0" width="4.63"/>
    <col collapsed="false" customWidth="true" hidden="false" outlineLevel="0" max="4" min="4" style="0" width="34"/>
    <col collapsed="false" customWidth="true" hidden="false" outlineLevel="0" max="5" min="5" style="0" width="10.25"/>
    <col collapsed="false" customWidth="true" hidden="false" outlineLevel="0" max="8" min="6" style="0" width="34"/>
    <col collapsed="false" customWidth="true" hidden="false" outlineLevel="0" max="13" min="13" style="0" width="40.5"/>
    <col collapsed="false" customWidth="true" hidden="false" outlineLevel="0" max="17" min="17" style="0" width="33.38"/>
  </cols>
  <sheetData>
    <row r="1" customFormat="false" ht="52.2" hidden="false" customHeight="false" outlineLevel="0" collapsed="false">
      <c r="A1" s="1" t="s">
        <v>0</v>
      </c>
      <c r="B1" s="2" t="s">
        <v>1</v>
      </c>
      <c r="C1" s="1" t="s">
        <v>2</v>
      </c>
      <c r="D1" s="3" t="s">
        <v>3</v>
      </c>
      <c r="E1" s="1" t="s">
        <v>4</v>
      </c>
      <c r="F1" s="3" t="s">
        <v>5</v>
      </c>
      <c r="G1" s="3" t="s">
        <v>6</v>
      </c>
      <c r="H1" s="3" t="s">
        <v>7</v>
      </c>
      <c r="I1" s="4"/>
      <c r="J1" s="5" t="s">
        <v>2</v>
      </c>
      <c r="K1" s="5" t="s">
        <v>8</v>
      </c>
      <c r="L1" s="5" t="s">
        <v>9</v>
      </c>
      <c r="M1" s="5" t="s">
        <v>10</v>
      </c>
      <c r="N1" s="5" t="s">
        <v>11</v>
      </c>
      <c r="O1" s="5" t="s">
        <v>12</v>
      </c>
      <c r="P1" s="5" t="s">
        <v>13</v>
      </c>
      <c r="Q1" s="5" t="s">
        <v>14</v>
      </c>
      <c r="R1" s="5" t="s">
        <v>15</v>
      </c>
      <c r="S1" s="5" t="s">
        <v>16</v>
      </c>
      <c r="T1" s="5" t="s">
        <v>17</v>
      </c>
      <c r="U1" s="5" t="s">
        <v>18</v>
      </c>
      <c r="V1" s="6"/>
      <c r="W1" s="6"/>
      <c r="X1" s="6"/>
      <c r="Y1" s="6"/>
      <c r="Z1" s="6"/>
      <c r="AA1" s="6"/>
      <c r="AB1" s="6"/>
      <c r="AC1" s="6"/>
    </row>
    <row r="2" customFormat="false" ht="168.65" hidden="false" customHeight="false" outlineLevel="0" collapsed="false">
      <c r="A2" s="1"/>
      <c r="B2" s="2" t="s">
        <v>19</v>
      </c>
      <c r="C2" s="1"/>
      <c r="D2" s="2" t="s">
        <v>20</v>
      </c>
      <c r="E2" s="1"/>
      <c r="F2" s="2" t="s">
        <v>21</v>
      </c>
      <c r="G2" s="2"/>
      <c r="H2" s="2"/>
      <c r="I2" s="7"/>
      <c r="J2" s="8" t="s">
        <v>22</v>
      </c>
      <c r="K2" s="8" t="s">
        <v>23</v>
      </c>
      <c r="L2" s="8" t="s">
        <v>24</v>
      </c>
      <c r="M2" s="8" t="s">
        <v>25</v>
      </c>
      <c r="N2" s="8" t="s">
        <v>26</v>
      </c>
      <c r="O2" s="8" t="s">
        <v>27</v>
      </c>
      <c r="P2" s="8" t="s">
        <v>28</v>
      </c>
      <c r="Q2" s="8" t="s">
        <v>29</v>
      </c>
      <c r="R2" s="8" t="s">
        <v>30</v>
      </c>
      <c r="S2" s="8" t="s">
        <v>31</v>
      </c>
      <c r="T2" s="8" t="s">
        <v>32</v>
      </c>
      <c r="U2" s="8" t="s">
        <v>33</v>
      </c>
      <c r="V2" s="6"/>
      <c r="W2" s="6"/>
      <c r="X2" s="6"/>
      <c r="Y2" s="6"/>
      <c r="Z2" s="6"/>
      <c r="AA2" s="6"/>
      <c r="AB2" s="6"/>
      <c r="AC2" s="6"/>
    </row>
    <row r="3" customFormat="false" ht="132.8" hidden="false" customHeight="false" outlineLevel="0" collapsed="false">
      <c r="A3" s="1"/>
      <c r="B3" s="2" t="s">
        <v>34</v>
      </c>
      <c r="C3" s="1"/>
      <c r="D3" s="3" t="s">
        <v>35</v>
      </c>
      <c r="E3" s="1"/>
      <c r="F3" s="2" t="s">
        <v>36</v>
      </c>
      <c r="G3" s="2"/>
      <c r="H3" s="2"/>
      <c r="I3" s="6"/>
      <c r="J3" s="2"/>
      <c r="K3" s="2"/>
      <c r="L3" s="8" t="s">
        <v>37</v>
      </c>
      <c r="M3" s="8" t="s">
        <v>38</v>
      </c>
      <c r="N3" s="8" t="s">
        <v>39</v>
      </c>
      <c r="O3" s="8" t="s">
        <v>40</v>
      </c>
      <c r="P3" s="8" t="s">
        <v>41</v>
      </c>
      <c r="Q3" s="8" t="s">
        <v>42</v>
      </c>
      <c r="R3" s="2"/>
      <c r="S3" s="2"/>
      <c r="T3" s="2"/>
      <c r="U3" s="2"/>
      <c r="V3" s="6"/>
      <c r="W3" s="6"/>
      <c r="X3" s="6"/>
      <c r="Y3" s="6"/>
      <c r="Z3" s="6"/>
      <c r="AA3" s="6"/>
      <c r="AB3" s="6"/>
      <c r="AC3" s="6"/>
    </row>
    <row r="4" customFormat="false" ht="120.85" hidden="false" customHeight="false" outlineLevel="0" collapsed="false">
      <c r="A4" s="1"/>
      <c r="B4" s="2" t="s">
        <v>43</v>
      </c>
      <c r="C4" s="1"/>
      <c r="D4" s="3" t="s">
        <v>44</v>
      </c>
      <c r="E4" s="1"/>
      <c r="F4" s="2" t="s">
        <v>45</v>
      </c>
      <c r="G4" s="2"/>
      <c r="H4" s="2"/>
      <c r="I4" s="6"/>
      <c r="J4" s="2"/>
      <c r="K4" s="2"/>
      <c r="L4" s="2"/>
      <c r="M4" s="2"/>
      <c r="N4" s="2"/>
      <c r="O4" s="2"/>
      <c r="P4" s="2"/>
      <c r="Q4" s="8" t="s">
        <v>46</v>
      </c>
      <c r="R4" s="2"/>
      <c r="S4" s="2"/>
      <c r="T4" s="2"/>
      <c r="U4" s="2"/>
      <c r="V4" s="6"/>
      <c r="W4" s="6"/>
      <c r="X4" s="6"/>
      <c r="Y4" s="6"/>
      <c r="Z4" s="6"/>
      <c r="AA4" s="6"/>
      <c r="AB4" s="6"/>
      <c r="AC4" s="6"/>
    </row>
    <row r="5" customFormat="false" ht="15.75" hidden="false" customHeight="false" outlineLevel="0" collapsed="false">
      <c r="A5" s="1"/>
      <c r="B5" s="2" t="s">
        <v>47</v>
      </c>
      <c r="C5" s="1"/>
      <c r="D5" s="3" t="s">
        <v>48</v>
      </c>
      <c r="E5" s="1"/>
      <c r="F5" s="2" t="s">
        <v>49</v>
      </c>
      <c r="G5" s="3" t="s">
        <v>50</v>
      </c>
      <c r="H5" s="2"/>
      <c r="I5" s="6"/>
      <c r="J5" s="6"/>
      <c r="K5" s="6"/>
      <c r="L5" s="6"/>
      <c r="M5" s="6"/>
      <c r="N5" s="6"/>
      <c r="O5" s="6"/>
      <c r="P5" s="6"/>
      <c r="Q5" s="6"/>
      <c r="R5" s="6"/>
      <c r="S5" s="6"/>
      <c r="T5" s="6"/>
      <c r="U5" s="6"/>
      <c r="V5" s="6"/>
      <c r="W5" s="6"/>
      <c r="X5" s="6"/>
      <c r="Y5" s="6"/>
      <c r="Z5" s="6"/>
      <c r="AA5" s="6"/>
      <c r="AB5" s="6"/>
      <c r="AC5" s="6"/>
    </row>
    <row r="6" customFormat="false" ht="15.75" hidden="false" customHeight="false" outlineLevel="0" collapsed="false">
      <c r="A6" s="1"/>
      <c r="B6" s="3" t="s">
        <v>51</v>
      </c>
      <c r="C6" s="1"/>
      <c r="D6" s="3" t="s">
        <v>52</v>
      </c>
      <c r="E6" s="1"/>
      <c r="F6" s="2" t="s">
        <v>53</v>
      </c>
      <c r="G6" s="2"/>
      <c r="H6" s="2"/>
      <c r="I6" s="6"/>
      <c r="J6" s="6"/>
      <c r="K6" s="6"/>
      <c r="L6" s="6"/>
      <c r="M6" s="6"/>
      <c r="N6" s="6"/>
      <c r="O6" s="6"/>
      <c r="P6" s="6"/>
      <c r="Q6" s="6"/>
      <c r="R6" s="6"/>
      <c r="S6" s="6"/>
      <c r="T6" s="6"/>
      <c r="U6" s="6"/>
      <c r="V6" s="6"/>
      <c r="W6" s="6"/>
      <c r="X6" s="6"/>
      <c r="Y6" s="6"/>
      <c r="Z6" s="6"/>
      <c r="AA6" s="6"/>
      <c r="AB6" s="6"/>
      <c r="AC6" s="6"/>
    </row>
    <row r="7" customFormat="false" ht="15.75" hidden="false" customHeight="false" outlineLevel="0" collapsed="false">
      <c r="A7" s="1"/>
      <c r="B7" s="2" t="s">
        <v>54</v>
      </c>
      <c r="C7" s="1"/>
      <c r="D7" s="3" t="s">
        <v>55</v>
      </c>
      <c r="E7" s="1"/>
      <c r="F7" s="2" t="s">
        <v>56</v>
      </c>
      <c r="G7" s="2"/>
      <c r="H7" s="2"/>
      <c r="I7" s="6"/>
      <c r="J7" s="6"/>
      <c r="K7" s="6"/>
      <c r="L7" s="6"/>
      <c r="M7" s="6"/>
      <c r="N7" s="6"/>
      <c r="O7" s="6"/>
      <c r="P7" s="6"/>
      <c r="Q7" s="6"/>
      <c r="R7" s="6"/>
      <c r="S7" s="6"/>
      <c r="T7" s="6"/>
      <c r="U7" s="6"/>
      <c r="V7" s="6"/>
      <c r="W7" s="6"/>
      <c r="X7" s="6"/>
      <c r="Y7" s="6"/>
      <c r="Z7" s="6"/>
      <c r="AA7" s="6"/>
      <c r="AB7" s="6"/>
      <c r="AC7" s="6"/>
    </row>
    <row r="8" customFormat="false" ht="15.75" hidden="false" customHeight="false" outlineLevel="0" collapsed="false">
      <c r="A8" s="1"/>
      <c r="B8" s="2" t="s">
        <v>57</v>
      </c>
      <c r="C8" s="1"/>
      <c r="D8" s="2" t="s">
        <v>58</v>
      </c>
      <c r="E8" s="1"/>
      <c r="F8" s="3" t="s">
        <v>59</v>
      </c>
      <c r="G8" s="2"/>
      <c r="H8" s="2"/>
      <c r="I8" s="6"/>
      <c r="J8" s="6"/>
      <c r="K8" s="6"/>
      <c r="L8" s="6"/>
      <c r="M8" s="6"/>
      <c r="N8" s="6"/>
      <c r="O8" s="6"/>
      <c r="P8" s="6"/>
      <c r="Q8" s="6"/>
      <c r="R8" s="6"/>
      <c r="S8" s="6"/>
      <c r="T8" s="6"/>
      <c r="U8" s="6"/>
      <c r="V8" s="6"/>
      <c r="W8" s="6"/>
      <c r="X8" s="6"/>
      <c r="Y8" s="6"/>
      <c r="Z8" s="6"/>
      <c r="AA8" s="6"/>
      <c r="AB8" s="6"/>
      <c r="AC8" s="6"/>
    </row>
    <row r="9" customFormat="false" ht="15.75" hidden="false" customHeight="false" outlineLevel="0" collapsed="false">
      <c r="A9" s="1"/>
      <c r="B9" s="3" t="s">
        <v>60</v>
      </c>
      <c r="C9" s="1"/>
      <c r="D9" s="2" t="s">
        <v>61</v>
      </c>
      <c r="E9" s="1"/>
      <c r="F9" s="3" t="s">
        <v>62</v>
      </c>
      <c r="G9" s="2"/>
      <c r="H9" s="2"/>
      <c r="I9" s="6"/>
      <c r="J9" s="6"/>
      <c r="K9" s="6"/>
      <c r="L9" s="6"/>
      <c r="M9" s="6"/>
      <c r="N9" s="6"/>
      <c r="O9" s="6"/>
      <c r="P9" s="6"/>
      <c r="Q9" s="6"/>
      <c r="R9" s="6"/>
      <c r="S9" s="6"/>
      <c r="T9" s="6"/>
      <c r="U9" s="6"/>
      <c r="V9" s="6"/>
      <c r="W9" s="6"/>
      <c r="X9" s="6"/>
      <c r="Y9" s="6"/>
      <c r="Z9" s="6"/>
      <c r="AA9" s="6"/>
      <c r="AB9" s="6"/>
      <c r="AC9" s="6"/>
    </row>
    <row r="10" customFormat="false" ht="15.75" hidden="false" customHeight="false" outlineLevel="0" collapsed="false">
      <c r="A10" s="1"/>
      <c r="B10" s="3" t="s">
        <v>55</v>
      </c>
      <c r="C10" s="9"/>
      <c r="D10" s="6"/>
      <c r="E10" s="6"/>
      <c r="F10" s="6"/>
      <c r="G10" s="6"/>
      <c r="H10" s="6"/>
      <c r="I10" s="6"/>
      <c r="J10" s="6"/>
      <c r="K10" s="6"/>
      <c r="L10" s="6"/>
      <c r="M10" s="6"/>
      <c r="N10" s="6"/>
      <c r="O10" s="6"/>
      <c r="P10" s="6"/>
      <c r="Q10" s="6"/>
      <c r="R10" s="6"/>
      <c r="S10" s="6"/>
      <c r="T10" s="6"/>
      <c r="U10" s="6"/>
      <c r="V10" s="6"/>
      <c r="W10" s="6"/>
      <c r="X10" s="6"/>
      <c r="Y10" s="6"/>
      <c r="Z10" s="6"/>
      <c r="AA10" s="6"/>
      <c r="AB10" s="6"/>
      <c r="AC10" s="6"/>
    </row>
    <row r="11" customFormat="false" ht="15.75" hidden="false" customHeight="false" outlineLevel="0" collapsed="false">
      <c r="A11" s="6"/>
      <c r="B11" s="6"/>
      <c r="C11" s="9"/>
      <c r="D11" s="6"/>
      <c r="E11" s="6"/>
      <c r="F11" s="6"/>
      <c r="G11" s="6"/>
      <c r="H11" s="6"/>
      <c r="I11" s="6"/>
      <c r="J11" s="6"/>
      <c r="K11" s="6"/>
      <c r="L11" s="6"/>
      <c r="M11" s="6"/>
      <c r="N11" s="6"/>
      <c r="O11" s="6"/>
      <c r="P11" s="6"/>
      <c r="Q11" s="6"/>
      <c r="R11" s="6"/>
      <c r="S11" s="6"/>
      <c r="T11" s="6"/>
      <c r="U11" s="6"/>
      <c r="V11" s="6"/>
      <c r="W11" s="6"/>
      <c r="X11" s="6"/>
      <c r="Y11" s="6"/>
      <c r="Z11" s="6"/>
      <c r="AA11" s="6"/>
      <c r="AB11" s="6"/>
      <c r="AC11" s="6"/>
    </row>
    <row r="12" customFormat="false" ht="15.75" hidden="false" customHeight="false" outlineLevel="0" collapsed="false">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row>
    <row r="13" customFormat="false" ht="15.75" hidden="false" customHeight="false" outlineLevel="0" collapsed="false">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row>
    <row r="14" customFormat="false" ht="15.75" hidden="false" customHeight="false" outlineLevel="0" collapsed="false">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row>
    <row r="15" customFormat="false" ht="15.75" hidden="false" customHeight="false" outlineLevel="0" collapsed="false">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row>
    <row r="16" customFormat="false" ht="15.75" hidden="false" customHeight="false" outlineLevel="0" collapsed="false">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row>
    <row r="17" customFormat="false" ht="15.75" hidden="false" customHeight="false" outlineLevel="0" collapsed="false">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row>
    <row r="18" customFormat="false" ht="15.75" hidden="false" customHeight="false" outlineLevel="0" collapsed="false">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row>
    <row r="19" customFormat="false" ht="15.75" hidden="false" customHeight="false" outlineLevel="0" collapsed="false">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row>
    <row r="20" customFormat="false" ht="15.75" hidden="false" customHeight="false" outlineLevel="0" collapsed="false">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row>
    <row r="21" customFormat="false" ht="15.75" hidden="false" customHeight="false" outlineLevel="0" collapsed="false">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row>
    <row r="22" customFormat="false" ht="15.75" hidden="false" customHeight="false" outlineLevel="0" collapsed="false">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row>
    <row r="23" customFormat="false" ht="15.75" hidden="false" customHeight="false" outlineLevel="0" collapsed="false">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row>
    <row r="24" customFormat="false" ht="15.75" hidden="false" customHeight="false" outlineLevel="0" collapsed="false">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row>
    <row r="25" customFormat="false" ht="15.75" hidden="false" customHeight="false" outlineLevel="0" collapsed="false">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row>
    <row r="26" customFormat="false" ht="15.75" hidden="false" customHeight="false" outlineLevel="0" collapsed="false">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row>
    <row r="27" customFormat="false" ht="15.75" hidden="false" customHeight="false" outlineLevel="0" collapsed="false">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row>
    <row r="28" customFormat="false" ht="15.75" hidden="false" customHeight="false" outlineLevel="0" collapsed="false">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row>
    <row r="29" customFormat="false" ht="15.75" hidden="false" customHeight="false" outlineLevel="0" collapsed="false">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row>
    <row r="30" customFormat="false" ht="15.75" hidden="false" customHeight="false" outlineLevel="0" collapsed="false">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row>
    <row r="31" customFormat="false" ht="15.75" hidden="false" customHeight="false" outlineLevel="0" collapsed="false">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row>
    <row r="32" customFormat="false" ht="15.75" hidden="false" customHeight="false" outlineLevel="0" collapsed="false">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row>
    <row r="33" customFormat="false" ht="15.75" hidden="false" customHeight="false" outlineLevel="0" collapsed="false">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row>
    <row r="34" customFormat="false" ht="15.75" hidden="false" customHeight="false" outlineLevel="0" collapsed="false">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row>
    <row r="35" customFormat="false" ht="15.75" hidden="false" customHeight="false" outlineLevel="0" collapsed="false">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row>
    <row r="36" customFormat="false" ht="15.75" hidden="false" customHeight="false" outlineLevel="0" collapsed="false">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row>
    <row r="37" customFormat="false" ht="15.75" hidden="false" customHeight="false" outlineLevel="0" collapsed="false">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row>
    <row r="38" customFormat="false" ht="15.75" hidden="false" customHeight="false" outlineLevel="0" collapsed="false">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row>
    <row r="39" customFormat="false" ht="15.75" hidden="false" customHeight="false" outlineLevel="0" collapsed="false">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row>
    <row r="40" customFormat="false" ht="15.75" hidden="false" customHeight="false" outlineLevel="0" collapsed="false">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row>
    <row r="41" customFormat="false" ht="15.75" hidden="false" customHeight="false" outlineLevel="0" collapsed="false">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row>
    <row r="42" customFormat="false" ht="15.75" hidden="false" customHeight="false" outlineLevel="0" collapsed="false">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row>
    <row r="43" customFormat="false" ht="15.75" hidden="false" customHeight="false" outlineLevel="0" collapsed="false">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row>
    <row r="44" customFormat="false" ht="15.75" hidden="false" customHeight="false" outlineLevel="0" collapsed="false">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row>
    <row r="45" customFormat="false" ht="15.75" hidden="false" customHeight="false" outlineLevel="0" collapsed="false">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row>
    <row r="46" customFormat="false" ht="15.75" hidden="false" customHeight="false" outlineLevel="0" collapsed="false">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row>
    <row r="47" customFormat="false" ht="15.75" hidden="false" customHeight="false" outlineLevel="0" collapsed="false">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row>
    <row r="48" customFormat="false" ht="15.75" hidden="false" customHeight="false" outlineLevel="0" collapsed="false">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row>
    <row r="49" customFormat="false" ht="15.75" hidden="false" customHeight="false" outlineLevel="0" collapsed="false">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row>
    <row r="50" customFormat="false" ht="15.75" hidden="false" customHeight="false" outlineLevel="0" collapsed="false">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ustomFormat="false" ht="15.75" hidden="false" customHeight="false" outlineLevel="0" collapsed="false">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ustomFormat="false" ht="15.75" hidden="false" customHeight="false" outlineLevel="0" collapsed="false">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ustomFormat="false" ht="15.75" hidden="false" customHeight="false" outlineLevel="0" collapsed="false">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ustomFormat="false" ht="15.75" hidden="false" customHeight="false" outlineLevel="0" collapsed="false">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ustomFormat="false" ht="15.75" hidden="false" customHeight="false" outlineLevel="0" collapsed="false">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ustomFormat="false" ht="15.75" hidden="false" customHeight="false" outlineLevel="0" collapsed="false">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ustomFormat="false" ht="15.75" hidden="false" customHeight="false" outlineLevel="0" collapsed="false">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ustomFormat="false" ht="15.75" hidden="false" customHeight="false" outlineLevel="0" collapsed="false">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ustomFormat="false" ht="15.75" hidden="false" customHeight="false" outlineLevel="0" collapsed="false">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ustomFormat="false" ht="15.75" hidden="false" customHeight="false" outlineLevel="0" collapsed="false">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ustomFormat="false" ht="15.75" hidden="false" customHeight="false" outlineLevel="0" collapsed="false">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ustomFormat="false" ht="15.75" hidden="false" customHeight="false" outlineLevel="0" collapsed="false">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ustomFormat="false" ht="15.75" hidden="false" customHeight="false" outlineLevel="0" collapsed="false">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ustomFormat="false" ht="15.75" hidden="false" customHeight="false" outlineLevel="0" collapsed="false">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ustomFormat="false" ht="15.75" hidden="false" customHeight="false" outlineLevel="0" collapsed="false">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ustomFormat="false" ht="15.75" hidden="false" customHeight="false" outlineLevel="0" collapsed="false">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ustomFormat="false" ht="15.75" hidden="false" customHeight="false" outlineLevel="0" collapsed="false">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ustomFormat="false" ht="15.75" hidden="false" customHeight="false" outlineLevel="0" collapsed="false">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ustomFormat="false" ht="15.75" hidden="false" customHeight="false" outlineLevel="0" collapsed="false">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ustomFormat="false" ht="15.75" hidden="false" customHeight="false" outlineLevel="0" collapsed="false">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ustomFormat="false" ht="15.75" hidden="false" customHeight="false" outlineLevel="0" collapsed="false">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ustomFormat="false" ht="15.75" hidden="false" customHeight="false" outlineLevel="0" collapsed="false">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ustomFormat="false" ht="15.75" hidden="false" customHeight="false" outlineLevel="0" collapsed="false">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ustomFormat="false" ht="15.75" hidden="false" customHeight="false" outlineLevel="0" collapsed="false">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ustomFormat="false" ht="15.75" hidden="false" customHeight="false" outlineLevel="0" collapsed="false">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ustomFormat="false" ht="15.75" hidden="false" customHeight="false" outlineLevel="0" collapsed="false">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ustomFormat="false" ht="15.75" hidden="false" customHeight="false" outlineLevel="0" collapsed="false">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ustomFormat="false" ht="15.75" hidden="false" customHeight="false" outlineLevel="0" collapsed="false">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ustomFormat="false" ht="15.75" hidden="false" customHeight="false" outlineLevel="0" collapsed="false">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ustomFormat="false" ht="15.75" hidden="false" customHeight="false" outlineLevel="0" collapsed="false">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ustomFormat="false" ht="15.75" hidden="false" customHeight="false" outlineLevel="0" collapsed="false">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ustomFormat="false" ht="15.75" hidden="false" customHeight="false" outlineLevel="0" collapsed="false">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ustomFormat="false" ht="15.75" hidden="false" customHeight="false" outlineLevel="0" collapsed="false">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ustomFormat="false" ht="15.75" hidden="false" customHeight="false" outlineLevel="0" collapsed="false">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ustomFormat="false" ht="15.75" hidden="false" customHeight="false" outlineLevel="0" collapsed="false">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ustomFormat="false" ht="15.75" hidden="false" customHeight="false" outlineLevel="0" collapsed="false">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ustomFormat="false" ht="15.75" hidden="false" customHeight="false" outlineLevel="0" collapsed="false">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ustomFormat="false" ht="15.75" hidden="false" customHeight="false" outlineLevel="0" collapsed="false">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ustomFormat="false" ht="15.75" hidden="false" customHeight="false" outlineLevel="0" collapsed="false">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ustomFormat="false" ht="15.75" hidden="false" customHeight="false" outlineLevel="0" collapsed="false">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ustomFormat="false" ht="15.75" hidden="false" customHeight="false" outlineLevel="0" collapsed="false">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ustomFormat="false" ht="15.75" hidden="false" customHeight="false" outlineLevel="0" collapsed="false">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ustomFormat="false" ht="15.75" hidden="false" customHeight="false" outlineLevel="0" collapsed="false">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ustomFormat="false" ht="15.75" hidden="false" customHeight="false" outlineLevel="0" collapsed="false">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ustomFormat="false" ht="15.75" hidden="false" customHeight="false" outlineLevel="0" collapsed="false">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ustomFormat="false" ht="15.75" hidden="false" customHeight="false" outlineLevel="0" collapsed="false">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ustomFormat="false" ht="15.75" hidden="false" customHeight="false" outlineLevel="0" collapsed="false">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ustomFormat="false" ht="15.75" hidden="false" customHeight="false" outlineLevel="0" collapsed="false">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ustomFormat="false" ht="15.75" hidden="false" customHeight="false" outlineLevel="0" collapsed="false">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ustomFormat="false" ht="15.75" hidden="false" customHeight="false" outlineLevel="0" collapsed="false">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ustomFormat="false" ht="15.75" hidden="false" customHeight="false" outlineLevel="0" collapsed="false">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ustomFormat="false" ht="15.75" hidden="false" customHeight="false" outlineLevel="0" collapsed="false">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ustomFormat="false" ht="15.75" hidden="false" customHeight="false" outlineLevel="0" collapsed="false">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ustomFormat="false" ht="15.75" hidden="false" customHeight="false" outlineLevel="0" collapsed="false">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ustomFormat="false" ht="15.75" hidden="false" customHeight="false" outlineLevel="0" collapsed="false">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ustomFormat="false" ht="15.75" hidden="false" customHeight="false" outlineLevel="0" collapsed="false">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ustomFormat="false" ht="15.75" hidden="false" customHeight="false" outlineLevel="0" collapsed="false">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ustomFormat="false" ht="15.75" hidden="false" customHeight="false" outlineLevel="0" collapsed="false">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ustomFormat="false" ht="15.75" hidden="false" customHeight="false" outlineLevel="0" collapsed="false">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ustomFormat="false" ht="15.75" hidden="false" customHeight="false" outlineLevel="0" collapsed="false">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ustomFormat="false" ht="15.75" hidden="false" customHeight="false" outlineLevel="0" collapsed="false">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ustomFormat="false" ht="15.75" hidden="false" customHeight="false" outlineLevel="0" collapsed="false">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ustomFormat="false" ht="15.75" hidden="false" customHeight="false" outlineLevel="0" collapsed="false">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ustomFormat="false" ht="15.75" hidden="false" customHeight="false" outlineLevel="0" collapsed="false">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ustomFormat="false" ht="15.75" hidden="false" customHeight="false" outlineLevel="0" collapsed="false">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ustomFormat="false" ht="15.75" hidden="false" customHeight="false" outlineLevel="0" collapsed="false">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ustomFormat="false" ht="15.75" hidden="false" customHeight="false" outlineLevel="0" collapsed="false">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ustomFormat="false" ht="15.75" hidden="false" customHeight="false" outlineLevel="0" collapsed="false">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ustomFormat="false" ht="15.75" hidden="false" customHeight="false" outlineLevel="0" collapsed="false">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ustomFormat="false" ht="15.75" hidden="false" customHeight="false" outlineLevel="0" collapsed="false">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ustomFormat="false" ht="15.75" hidden="false" customHeight="false" outlineLevel="0" collapsed="false">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ustomFormat="false" ht="15.75" hidden="false" customHeight="false" outlineLevel="0" collapsed="false">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ustomFormat="false" ht="15.75" hidden="false" customHeight="false" outlineLevel="0" collapsed="false">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ustomFormat="false" ht="15.75" hidden="false" customHeight="false" outlineLevel="0" collapsed="false">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ustomFormat="false" ht="15.75" hidden="false" customHeight="false" outlineLevel="0" collapsed="false">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ustomFormat="false" ht="15.75" hidden="false" customHeight="false" outlineLevel="0" collapsed="false">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ustomFormat="false" ht="15.75" hidden="false" customHeight="false" outlineLevel="0" collapsed="false">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ustomFormat="false" ht="15.75" hidden="false" customHeight="false" outlineLevel="0" collapsed="false">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ustomFormat="false" ht="15.75" hidden="false" customHeight="false" outlineLevel="0" collapsed="false">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ustomFormat="false" ht="15.75" hidden="false" customHeight="false" outlineLevel="0" collapsed="false">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ustomFormat="false" ht="15.75" hidden="false" customHeight="false" outlineLevel="0" collapsed="false">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ustomFormat="false" ht="15.75" hidden="false" customHeight="false" outlineLevel="0" collapsed="false">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ustomFormat="false" ht="15.75" hidden="false" customHeight="false" outlineLevel="0" collapsed="false">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ustomFormat="false" ht="15.75" hidden="false" customHeight="false" outlineLevel="0" collapsed="false">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ustomFormat="false" ht="15.75" hidden="false" customHeight="false" outlineLevel="0" collapsed="false">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ustomFormat="false" ht="15.75" hidden="false" customHeight="false" outlineLevel="0" collapsed="false">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ustomFormat="false" ht="15.75" hidden="false" customHeight="false" outlineLevel="0" collapsed="false">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ustomFormat="false" ht="15.75" hidden="false" customHeight="false" outlineLevel="0" collapsed="false">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ustomFormat="false" ht="15.75" hidden="false" customHeight="false" outlineLevel="0" collapsed="false">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ustomFormat="false" ht="15.75" hidden="false" customHeight="false" outlineLevel="0" collapsed="false">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ustomFormat="false" ht="15.75" hidden="false" customHeight="false" outlineLevel="0" collapsed="false">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ustomFormat="false" ht="15.75" hidden="false" customHeight="false" outlineLevel="0" collapsed="false">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ustomFormat="false" ht="15.75" hidden="false" customHeight="false" outlineLevel="0" collapsed="false">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ustomFormat="false" ht="15.75" hidden="false" customHeight="false" outlineLevel="0" collapsed="false">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ustomFormat="false" ht="15.75" hidden="false" customHeight="false" outlineLevel="0" collapsed="false">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ustomFormat="false" ht="15.75" hidden="false" customHeight="false" outlineLevel="0" collapsed="false">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ustomFormat="false" ht="15.75" hidden="false" customHeight="false" outlineLevel="0" collapsed="false">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ustomFormat="false" ht="15.75" hidden="false" customHeight="false" outlineLevel="0" collapsed="false">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ustomFormat="false" ht="15.75" hidden="false" customHeight="false" outlineLevel="0" collapsed="false">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ustomFormat="false" ht="15.75" hidden="false" customHeight="false" outlineLevel="0" collapsed="false">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ustomFormat="false" ht="15.75" hidden="false" customHeight="false" outlineLevel="0" collapsed="false">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ustomFormat="false" ht="15.75" hidden="false" customHeight="false" outlineLevel="0" collapsed="false">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ustomFormat="false" ht="15.75" hidden="false" customHeight="false" outlineLevel="0" collapsed="false">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ustomFormat="false" ht="15.75" hidden="false" customHeight="false" outlineLevel="0" collapsed="false">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ustomFormat="false" ht="15.75" hidden="false" customHeight="false" outlineLevel="0" collapsed="false">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ustomFormat="false" ht="15.75" hidden="false" customHeight="false" outlineLevel="0" collapsed="false">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ustomFormat="false" ht="15.75" hidden="false" customHeight="false" outlineLevel="0" collapsed="false">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ustomFormat="false" ht="15.75" hidden="false" customHeight="false" outlineLevel="0" collapsed="false">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ustomFormat="false" ht="15.75" hidden="false" customHeight="false" outlineLevel="0" collapsed="false">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ustomFormat="false" ht="15.75" hidden="false" customHeight="false" outlineLevel="0" collapsed="false">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ustomFormat="false" ht="15.75" hidden="false" customHeight="false" outlineLevel="0" collapsed="false">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ustomFormat="false" ht="15.75" hidden="false" customHeight="false" outlineLevel="0" collapsed="false">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ustomFormat="false" ht="15.75" hidden="false" customHeight="false" outlineLevel="0" collapsed="false">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ustomFormat="false" ht="15.75" hidden="false" customHeight="false" outlineLevel="0" collapsed="false">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ustomFormat="false" ht="15.75" hidden="false" customHeight="false" outlineLevel="0" collapsed="false">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ustomFormat="false" ht="15.75" hidden="false" customHeight="false" outlineLevel="0" collapsed="false">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ustomFormat="false" ht="15.75" hidden="false" customHeight="false" outlineLevel="0" collapsed="false">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ustomFormat="false" ht="15.75" hidden="false" customHeight="false" outlineLevel="0" collapsed="false">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ustomFormat="false" ht="15.75" hidden="false" customHeight="false" outlineLevel="0" collapsed="false">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ustomFormat="false" ht="15.75" hidden="false" customHeight="false" outlineLevel="0" collapsed="false">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ustomFormat="false" ht="15.75" hidden="false" customHeight="false" outlineLevel="0" collapsed="false">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ustomFormat="false" ht="15.75" hidden="false" customHeight="false" outlineLevel="0" collapsed="false">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ustomFormat="false" ht="15.75" hidden="false" customHeight="false" outlineLevel="0" collapsed="false">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ustomFormat="false" ht="15.75" hidden="false" customHeight="false" outlineLevel="0" collapsed="false">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ustomFormat="false" ht="15.75" hidden="false" customHeight="false" outlineLevel="0" collapsed="false">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ustomFormat="false" ht="15.75" hidden="false" customHeight="false" outlineLevel="0" collapsed="false">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ustomFormat="false" ht="15.75" hidden="false" customHeight="false" outlineLevel="0" collapsed="false">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ustomFormat="false" ht="15.75" hidden="false" customHeight="false" outlineLevel="0" collapsed="false">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ustomFormat="false" ht="15.75" hidden="false" customHeight="false" outlineLevel="0" collapsed="false">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ustomFormat="false" ht="15.75" hidden="false" customHeight="false" outlineLevel="0" collapsed="false">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ustomFormat="false" ht="15.75" hidden="false" customHeight="false" outlineLevel="0" collapsed="false">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ustomFormat="false" ht="15.75" hidden="false" customHeight="false" outlineLevel="0" collapsed="false">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ustomFormat="false" ht="15.75" hidden="false" customHeight="false" outlineLevel="0" collapsed="false">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ustomFormat="false" ht="15.75" hidden="false" customHeight="false" outlineLevel="0" collapsed="false">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ustomFormat="false" ht="15.75" hidden="false" customHeight="false" outlineLevel="0" collapsed="false">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ustomFormat="false" ht="15.75" hidden="false" customHeight="false" outlineLevel="0" collapsed="false">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ustomFormat="false" ht="15.75" hidden="false" customHeight="false" outlineLevel="0" collapsed="false">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ustomFormat="false" ht="15.75" hidden="false" customHeight="false" outlineLevel="0" collapsed="false">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ustomFormat="false" ht="15.75" hidden="false" customHeight="false" outlineLevel="0" collapsed="false">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ustomFormat="false" ht="15.75" hidden="false" customHeight="false" outlineLevel="0" collapsed="false">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ustomFormat="false" ht="15.75" hidden="false" customHeight="false" outlineLevel="0" collapsed="false">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ustomFormat="false" ht="15.75" hidden="false" customHeight="false" outlineLevel="0" collapsed="false">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ustomFormat="false" ht="15.75" hidden="false" customHeight="false" outlineLevel="0" collapsed="false">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ustomFormat="false" ht="15.75" hidden="false" customHeight="false" outlineLevel="0" collapsed="false">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ustomFormat="false" ht="15.75" hidden="false" customHeight="false" outlineLevel="0" collapsed="false">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ustomFormat="false" ht="15.75" hidden="false" customHeight="false" outlineLevel="0" collapsed="false">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ustomFormat="false" ht="15.75" hidden="false" customHeight="false" outlineLevel="0" collapsed="false">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ustomFormat="false" ht="15.75" hidden="false" customHeight="false" outlineLevel="0" collapsed="false">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ustomFormat="false" ht="15.75" hidden="false" customHeight="false" outlineLevel="0" collapsed="false">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ustomFormat="false" ht="15.75" hidden="false" customHeight="false" outlineLevel="0" collapsed="false">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ustomFormat="false" ht="15.75" hidden="false" customHeight="false" outlineLevel="0" collapsed="false">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ustomFormat="false" ht="15.75" hidden="false" customHeight="false" outlineLevel="0" collapsed="false">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ustomFormat="false" ht="15.75" hidden="false" customHeight="false" outlineLevel="0" collapsed="false">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ustomFormat="false" ht="15.75" hidden="false" customHeight="false" outlineLevel="0" collapsed="false">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ustomFormat="false" ht="15.75" hidden="false" customHeight="false" outlineLevel="0" collapsed="false">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ustomFormat="false" ht="15.75" hidden="false" customHeight="false" outlineLevel="0" collapsed="false">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ustomFormat="false" ht="15.75" hidden="false" customHeight="false" outlineLevel="0" collapsed="false">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ustomFormat="false" ht="15.75" hidden="false" customHeight="false" outlineLevel="0" collapsed="false">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ustomFormat="false" ht="15.75" hidden="false" customHeight="false" outlineLevel="0" collapsed="false">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ustomFormat="false" ht="15.75" hidden="false" customHeight="false" outlineLevel="0" collapsed="false">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ustomFormat="false" ht="15.75" hidden="false" customHeight="false" outlineLevel="0" collapsed="false">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ustomFormat="false" ht="15.75" hidden="false" customHeight="false" outlineLevel="0" collapsed="false">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ustomFormat="false" ht="15.75" hidden="false" customHeight="false" outlineLevel="0" collapsed="false">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ustomFormat="false" ht="15.75" hidden="false" customHeight="false" outlineLevel="0" collapsed="false">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ustomFormat="false" ht="15.75" hidden="false" customHeight="false" outlineLevel="0" collapsed="false">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ustomFormat="false" ht="15.75" hidden="false" customHeight="false" outlineLevel="0" collapsed="false">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ustomFormat="false" ht="15.75" hidden="false" customHeight="false" outlineLevel="0" collapsed="false">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ustomFormat="false" ht="15.75" hidden="false" customHeight="false" outlineLevel="0" collapsed="false">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ustomFormat="false" ht="15.75" hidden="false" customHeight="false" outlineLevel="0" collapsed="false">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ustomFormat="false" ht="15.75" hidden="false" customHeight="false" outlineLevel="0" collapsed="false">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ustomFormat="false" ht="15.75" hidden="false" customHeight="false" outlineLevel="0" collapsed="false">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ustomFormat="false" ht="15.75" hidden="false" customHeight="false" outlineLevel="0" collapsed="false">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ustomFormat="false" ht="15.75" hidden="false" customHeight="false" outlineLevel="0" collapsed="false">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ustomFormat="false" ht="15.75" hidden="false" customHeight="false" outlineLevel="0" collapsed="false">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ustomFormat="false" ht="15.75" hidden="false" customHeight="false" outlineLevel="0" collapsed="false">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ustomFormat="false" ht="15.75" hidden="false" customHeight="false" outlineLevel="0" collapsed="false">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ustomFormat="false" ht="15.75" hidden="false" customHeight="false" outlineLevel="0" collapsed="false">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ustomFormat="false" ht="15.75" hidden="false" customHeight="false" outlineLevel="0" collapsed="false">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ustomFormat="false" ht="15.75" hidden="false" customHeight="false" outlineLevel="0" collapsed="false">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ustomFormat="false" ht="15.75" hidden="false" customHeight="false" outlineLevel="0" collapsed="false">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ustomFormat="false" ht="15.75" hidden="false" customHeight="false" outlineLevel="0" collapsed="false">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ustomFormat="false" ht="15.75" hidden="false" customHeight="false" outlineLevel="0" collapsed="false">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ustomFormat="false" ht="15.75" hidden="false" customHeight="false" outlineLevel="0" collapsed="false">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ustomFormat="false" ht="15.75" hidden="false" customHeight="false" outlineLevel="0" collapsed="false">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ustomFormat="false" ht="15.75" hidden="false" customHeight="false" outlineLevel="0" collapsed="false">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ustomFormat="false" ht="15.75" hidden="false" customHeight="false" outlineLevel="0" collapsed="false">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ustomFormat="false" ht="15.75" hidden="false" customHeight="false" outlineLevel="0" collapsed="false">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ustomFormat="false" ht="15.75" hidden="false" customHeight="false" outlineLevel="0" collapsed="false">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ustomFormat="false" ht="15.75" hidden="false" customHeight="false" outlineLevel="0" collapsed="false">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ustomFormat="false" ht="15.75" hidden="false" customHeight="false" outlineLevel="0" collapsed="false">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ustomFormat="false" ht="15.75" hidden="false" customHeight="false" outlineLevel="0" collapsed="false">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ustomFormat="false" ht="15.75" hidden="false" customHeight="false" outlineLevel="0" collapsed="false">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ustomFormat="false" ht="15.75" hidden="false" customHeight="false" outlineLevel="0" collapsed="false">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ustomFormat="false" ht="15.75" hidden="false" customHeight="false" outlineLevel="0" collapsed="false">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ustomFormat="false" ht="15.75" hidden="false" customHeight="false" outlineLevel="0" collapsed="false">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ustomFormat="false" ht="15.75" hidden="false" customHeight="false" outlineLevel="0" collapsed="false">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ustomFormat="false" ht="15.75" hidden="false" customHeight="false" outlineLevel="0" collapsed="false">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ustomFormat="false" ht="15.75" hidden="false" customHeight="false" outlineLevel="0" collapsed="false">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ustomFormat="false" ht="15.75" hidden="false" customHeight="false" outlineLevel="0" collapsed="false">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ustomFormat="false" ht="15.75" hidden="false" customHeight="false" outlineLevel="0" collapsed="false">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ustomFormat="false" ht="15.75" hidden="false" customHeight="false" outlineLevel="0" collapsed="false">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ustomFormat="false" ht="15.75" hidden="false" customHeight="false" outlineLevel="0" collapsed="false">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ustomFormat="false" ht="15.75" hidden="false" customHeight="false" outlineLevel="0" collapsed="false">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ustomFormat="false" ht="15.75" hidden="false" customHeight="false" outlineLevel="0" collapsed="false">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ustomFormat="false" ht="15.75" hidden="false" customHeight="false" outlineLevel="0" collapsed="false">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ustomFormat="false" ht="15.75" hidden="false" customHeight="false" outlineLevel="0" collapsed="false">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ustomFormat="false" ht="15.75" hidden="false" customHeight="false" outlineLevel="0" collapsed="false">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ustomFormat="false" ht="15.75" hidden="false" customHeight="false" outlineLevel="0" collapsed="false">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ustomFormat="false" ht="15.75" hidden="false" customHeight="false" outlineLevel="0" collapsed="false">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ustomFormat="false" ht="15.75" hidden="false" customHeight="false" outlineLevel="0" collapsed="false">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ustomFormat="false" ht="15.75" hidden="false" customHeight="false" outlineLevel="0" collapsed="false">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ustomFormat="false" ht="15.75" hidden="false" customHeight="false" outlineLevel="0" collapsed="false">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ustomFormat="false" ht="15.75" hidden="false" customHeight="false" outlineLevel="0" collapsed="false">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ustomFormat="false" ht="15.75" hidden="false" customHeight="false" outlineLevel="0" collapsed="false">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ustomFormat="false" ht="15.75" hidden="false" customHeight="false" outlineLevel="0" collapsed="false">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ustomFormat="false" ht="15.75" hidden="false" customHeight="false" outlineLevel="0" collapsed="false">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ustomFormat="false" ht="15.75" hidden="false" customHeight="false" outlineLevel="0" collapsed="false">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ustomFormat="false" ht="15.75" hidden="false" customHeight="false" outlineLevel="0" collapsed="false">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ustomFormat="false" ht="15.75" hidden="false" customHeight="false" outlineLevel="0" collapsed="false">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ustomFormat="false" ht="15.75" hidden="false" customHeight="false" outlineLevel="0" collapsed="false">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ustomFormat="false" ht="15.75" hidden="false" customHeight="false" outlineLevel="0" collapsed="false">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ustomFormat="false" ht="15.75" hidden="false" customHeight="false" outlineLevel="0" collapsed="false">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ustomFormat="false" ht="15.75" hidden="false" customHeight="false" outlineLevel="0" collapsed="false">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ustomFormat="false" ht="15.75" hidden="false" customHeight="false" outlineLevel="0" collapsed="false">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ustomFormat="false" ht="15.75" hidden="false" customHeight="false" outlineLevel="0" collapsed="false">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ustomFormat="false" ht="15.75" hidden="false" customHeight="false" outlineLevel="0" collapsed="false">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ustomFormat="false" ht="15.75" hidden="false" customHeight="false" outlineLevel="0" collapsed="false">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ustomFormat="false" ht="15.75" hidden="false" customHeight="false" outlineLevel="0" collapsed="false">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ustomFormat="false" ht="15.75" hidden="false" customHeight="false" outlineLevel="0" collapsed="false">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ustomFormat="false" ht="15.75" hidden="false" customHeight="false" outlineLevel="0" collapsed="false">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ustomFormat="false" ht="15.75" hidden="false" customHeight="false" outlineLevel="0" collapsed="false">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ustomFormat="false" ht="15.75" hidden="false" customHeight="false" outlineLevel="0" collapsed="false">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ustomFormat="false" ht="15.75" hidden="false" customHeight="false" outlineLevel="0" collapsed="false">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ustomFormat="false" ht="15.75" hidden="false" customHeight="false" outlineLevel="0" collapsed="false">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ustomFormat="false" ht="15.75" hidden="false" customHeight="false" outlineLevel="0" collapsed="false">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ustomFormat="false" ht="15.75" hidden="false" customHeight="false" outlineLevel="0" collapsed="false">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ustomFormat="false" ht="15.75" hidden="false" customHeight="false" outlineLevel="0" collapsed="false">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ustomFormat="false" ht="15.75" hidden="false" customHeight="false" outlineLevel="0" collapsed="false">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ustomFormat="false" ht="15.75" hidden="false" customHeight="false" outlineLevel="0" collapsed="false">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ustomFormat="false" ht="15.75" hidden="false" customHeight="false" outlineLevel="0" collapsed="false">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ustomFormat="false" ht="15.75" hidden="false" customHeight="false" outlineLevel="0" collapsed="false">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ustomFormat="false" ht="15.75" hidden="false" customHeight="false" outlineLevel="0" collapsed="false">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ustomFormat="false" ht="15.75" hidden="false" customHeight="false" outlineLevel="0" collapsed="false">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ustomFormat="false" ht="15.75" hidden="false" customHeight="false" outlineLevel="0" collapsed="false">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ustomFormat="false" ht="15.75" hidden="false" customHeight="false" outlineLevel="0" collapsed="false">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ustomFormat="false" ht="15.75" hidden="false" customHeight="false" outlineLevel="0" collapsed="false">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ustomFormat="false" ht="15.75" hidden="false" customHeight="false" outlineLevel="0" collapsed="false">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ustomFormat="false" ht="15.75" hidden="false" customHeight="false" outlineLevel="0" collapsed="false">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ustomFormat="false" ht="15.75" hidden="false" customHeight="false" outlineLevel="0" collapsed="false">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ustomFormat="false" ht="15.75" hidden="false" customHeight="false" outlineLevel="0" collapsed="false">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ustomFormat="false" ht="15.75" hidden="false" customHeight="false" outlineLevel="0" collapsed="false">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ustomFormat="false" ht="15.75" hidden="false" customHeight="false" outlineLevel="0" collapsed="false">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ustomFormat="false" ht="15.75" hidden="false" customHeight="false" outlineLevel="0" collapsed="false">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ustomFormat="false" ht="15.75" hidden="false" customHeight="false" outlineLevel="0" collapsed="false">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ustomFormat="false" ht="15.75" hidden="false" customHeight="false" outlineLevel="0" collapsed="false">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ustomFormat="false" ht="15.75" hidden="false" customHeight="false" outlineLevel="0" collapsed="false">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ustomFormat="false" ht="15.75" hidden="false" customHeight="false" outlineLevel="0" collapsed="false">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ustomFormat="false" ht="15.75" hidden="false" customHeight="false" outlineLevel="0" collapsed="false">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ustomFormat="false" ht="15.75" hidden="false" customHeight="false" outlineLevel="0" collapsed="false">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ustomFormat="false" ht="15.75" hidden="false" customHeight="false" outlineLevel="0" collapsed="false">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ustomFormat="false" ht="15.75" hidden="false" customHeight="false" outlineLevel="0" collapsed="false">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ustomFormat="false" ht="15.75" hidden="false" customHeight="false" outlineLevel="0" collapsed="false">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ustomFormat="false" ht="15.75" hidden="false" customHeight="false" outlineLevel="0" collapsed="false">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ustomFormat="false" ht="15.75" hidden="false" customHeight="false" outlineLevel="0" collapsed="false">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ustomFormat="false" ht="15.75" hidden="false" customHeight="false" outlineLevel="0" collapsed="false">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ustomFormat="false" ht="15.75" hidden="false" customHeight="false" outlineLevel="0" collapsed="false">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ustomFormat="false" ht="15.75" hidden="false" customHeight="false" outlineLevel="0" collapsed="false">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ustomFormat="false" ht="15.75" hidden="false" customHeight="false" outlineLevel="0" collapsed="false">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ustomFormat="false" ht="15.75" hidden="false" customHeight="false" outlineLevel="0" collapsed="false">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ustomFormat="false" ht="15.75" hidden="false" customHeight="false" outlineLevel="0" collapsed="false">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ustomFormat="false" ht="15.75" hidden="false" customHeight="false" outlineLevel="0" collapsed="false">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ustomFormat="false" ht="15.75" hidden="false" customHeight="false" outlineLevel="0" collapsed="false">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ustomFormat="false" ht="15.75" hidden="false" customHeight="false" outlineLevel="0" collapsed="false">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ustomFormat="false" ht="15.75" hidden="false" customHeight="false" outlineLevel="0" collapsed="false">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ustomFormat="false" ht="15.75" hidden="false" customHeight="false" outlineLevel="0" collapsed="false">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ustomFormat="false" ht="15.75" hidden="false" customHeight="false" outlineLevel="0" collapsed="false">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ustomFormat="false" ht="15.75" hidden="false" customHeight="false" outlineLevel="0" collapsed="false">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ustomFormat="false" ht="15.75" hidden="false" customHeight="false" outlineLevel="0" collapsed="false">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ustomFormat="false" ht="15.75" hidden="false" customHeight="false" outlineLevel="0" collapsed="false">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ustomFormat="false" ht="15.75" hidden="false" customHeight="false" outlineLevel="0" collapsed="false">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ustomFormat="false" ht="15.75" hidden="false" customHeight="false" outlineLevel="0" collapsed="false">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ustomFormat="false" ht="15.75" hidden="false" customHeight="false" outlineLevel="0" collapsed="false">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ustomFormat="false" ht="15.75" hidden="false" customHeight="false" outlineLevel="0" collapsed="false">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ustomFormat="false" ht="15.75" hidden="false" customHeight="false" outlineLevel="0" collapsed="false">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ustomFormat="false" ht="15.75" hidden="false" customHeight="false" outlineLevel="0" collapsed="false">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ustomFormat="false" ht="15.75" hidden="false" customHeight="false" outlineLevel="0" collapsed="false">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ustomFormat="false" ht="15.75" hidden="false" customHeight="false" outlineLevel="0" collapsed="false">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ustomFormat="false" ht="15.75" hidden="false" customHeight="false" outlineLevel="0" collapsed="false">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ustomFormat="false" ht="15.75" hidden="false" customHeight="false" outlineLevel="0" collapsed="false">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ustomFormat="false" ht="15.75" hidden="false" customHeight="false" outlineLevel="0" collapsed="false">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ustomFormat="false" ht="15.75" hidden="false" customHeight="false" outlineLevel="0" collapsed="false">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ustomFormat="false" ht="15.75" hidden="false" customHeight="false" outlineLevel="0" collapsed="false">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ustomFormat="false" ht="15.75" hidden="false" customHeight="false" outlineLevel="0" collapsed="false">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ustomFormat="false" ht="15.75" hidden="false" customHeight="false" outlineLevel="0" collapsed="false">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ustomFormat="false" ht="15.75" hidden="false" customHeight="false" outlineLevel="0" collapsed="false">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ustomFormat="false" ht="15.75" hidden="false" customHeight="false" outlineLevel="0" collapsed="false">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ustomFormat="false" ht="15.75" hidden="false" customHeight="false" outlineLevel="0" collapsed="false">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ustomFormat="false" ht="15.75" hidden="false" customHeight="false" outlineLevel="0" collapsed="false">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ustomFormat="false" ht="15.75" hidden="false" customHeight="false" outlineLevel="0" collapsed="false">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ustomFormat="false" ht="15.75" hidden="false" customHeight="false" outlineLevel="0" collapsed="false">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ustomFormat="false" ht="15.75" hidden="false" customHeight="false" outlineLevel="0" collapsed="false">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ustomFormat="false" ht="15.75" hidden="false" customHeight="false" outlineLevel="0" collapsed="false">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ustomFormat="false" ht="15.75" hidden="false" customHeight="false" outlineLevel="0" collapsed="false">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ustomFormat="false" ht="15.75" hidden="false" customHeight="false" outlineLevel="0" collapsed="false">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ustomFormat="false" ht="15.75" hidden="false" customHeight="false" outlineLevel="0" collapsed="false">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ustomFormat="false" ht="15.75" hidden="false" customHeight="false" outlineLevel="0" collapsed="false">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ustomFormat="false" ht="15.75" hidden="false" customHeight="false" outlineLevel="0" collapsed="false">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ustomFormat="false" ht="15.75" hidden="false" customHeight="false" outlineLevel="0" collapsed="false">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ustomFormat="false" ht="15.75" hidden="false" customHeight="false" outlineLevel="0" collapsed="false">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ustomFormat="false" ht="15.75" hidden="false" customHeight="false" outlineLevel="0" collapsed="false">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ustomFormat="false" ht="15.75" hidden="false" customHeight="false" outlineLevel="0" collapsed="false">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ustomFormat="false" ht="15.75" hidden="false" customHeight="false" outlineLevel="0" collapsed="false">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ustomFormat="false" ht="15.75" hidden="false" customHeight="false" outlineLevel="0" collapsed="false">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ustomFormat="false" ht="15.75" hidden="false" customHeight="false" outlineLevel="0" collapsed="false">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ustomFormat="false" ht="15.75" hidden="false" customHeight="false" outlineLevel="0" collapsed="false">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ustomFormat="false" ht="15.75" hidden="false" customHeight="false" outlineLevel="0" collapsed="false">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ustomFormat="false" ht="15.75" hidden="false" customHeight="false" outlineLevel="0" collapsed="false">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ustomFormat="false" ht="15.75" hidden="false" customHeight="false" outlineLevel="0" collapsed="false">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ustomFormat="false" ht="15.75" hidden="false" customHeight="false" outlineLevel="0" collapsed="false">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ustomFormat="false" ht="15.75" hidden="false" customHeight="false" outlineLevel="0" collapsed="false">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ustomFormat="false" ht="15.75" hidden="false" customHeight="false" outlineLevel="0" collapsed="false">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ustomFormat="false" ht="15.75" hidden="false" customHeight="false" outlineLevel="0" collapsed="false">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ustomFormat="false" ht="15.75" hidden="false" customHeight="false" outlineLevel="0" collapsed="false">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ustomFormat="false" ht="15.75" hidden="false" customHeight="false" outlineLevel="0" collapsed="false">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ustomFormat="false" ht="15.75" hidden="false" customHeight="false" outlineLevel="0" collapsed="false">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ustomFormat="false" ht="15.75" hidden="false" customHeight="false" outlineLevel="0" collapsed="false">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ustomFormat="false" ht="15.75" hidden="false" customHeight="false" outlineLevel="0" collapsed="false">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ustomFormat="false" ht="15.75" hidden="false" customHeight="false" outlineLevel="0" collapsed="false">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ustomFormat="false" ht="15.75" hidden="false" customHeight="false" outlineLevel="0" collapsed="false">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ustomFormat="false" ht="15.75" hidden="false" customHeight="false" outlineLevel="0" collapsed="false">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ustomFormat="false" ht="15.75" hidden="false" customHeight="false" outlineLevel="0" collapsed="false">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ustomFormat="false" ht="15.75" hidden="false" customHeight="false" outlineLevel="0" collapsed="false">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ustomFormat="false" ht="15.75" hidden="false" customHeight="false" outlineLevel="0" collapsed="false">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ustomFormat="false" ht="15.75" hidden="false" customHeight="false" outlineLevel="0" collapsed="false">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ustomFormat="false" ht="15.75" hidden="false" customHeight="false" outlineLevel="0" collapsed="false">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ustomFormat="false" ht="15.75" hidden="false" customHeight="false" outlineLevel="0" collapsed="false">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ustomFormat="false" ht="15.75" hidden="false" customHeight="false" outlineLevel="0" collapsed="false">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ustomFormat="false" ht="15.75" hidden="false" customHeight="false" outlineLevel="0" collapsed="false">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ustomFormat="false" ht="15.75" hidden="false" customHeight="false" outlineLevel="0" collapsed="false">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ustomFormat="false" ht="15.75" hidden="false" customHeight="false" outlineLevel="0" collapsed="false">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ustomFormat="false" ht="15.75" hidden="false" customHeight="false" outlineLevel="0" collapsed="false">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ustomFormat="false" ht="15.75" hidden="false" customHeight="false" outlineLevel="0" collapsed="false">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ustomFormat="false" ht="15.75" hidden="false" customHeight="false" outlineLevel="0" collapsed="false">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ustomFormat="false" ht="15.75" hidden="false" customHeight="false" outlineLevel="0" collapsed="false">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ustomFormat="false" ht="15.75" hidden="false" customHeight="false" outlineLevel="0" collapsed="false">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ustomFormat="false" ht="15.75" hidden="false" customHeight="false" outlineLevel="0" collapsed="false">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ustomFormat="false" ht="15.75" hidden="false" customHeight="false" outlineLevel="0" collapsed="false">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ustomFormat="false" ht="15.75" hidden="false" customHeight="false" outlineLevel="0" collapsed="false">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ustomFormat="false" ht="15.75" hidden="false" customHeight="false" outlineLevel="0" collapsed="false">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ustomFormat="false" ht="15.75" hidden="false" customHeight="false" outlineLevel="0" collapsed="false">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ustomFormat="false" ht="15.75" hidden="false" customHeight="false" outlineLevel="0" collapsed="false">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ustomFormat="false" ht="15.75" hidden="false" customHeight="false" outlineLevel="0" collapsed="false">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ustomFormat="false" ht="15.75" hidden="false" customHeight="false" outlineLevel="0" collapsed="false">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ustomFormat="false" ht="15.75" hidden="false" customHeight="false" outlineLevel="0" collapsed="false">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ustomFormat="false" ht="15.75" hidden="false" customHeight="false" outlineLevel="0" collapsed="false">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ustomFormat="false" ht="15.75" hidden="false" customHeight="false" outlineLevel="0" collapsed="false">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ustomFormat="false" ht="15.75" hidden="false" customHeight="false" outlineLevel="0" collapsed="false">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ustomFormat="false" ht="15.75" hidden="false" customHeight="false" outlineLevel="0" collapsed="false">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ustomFormat="false" ht="15.75" hidden="false" customHeight="false" outlineLevel="0" collapsed="false">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ustomFormat="false" ht="15.75" hidden="false" customHeight="false" outlineLevel="0" collapsed="false">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ustomFormat="false" ht="15.75" hidden="false" customHeight="false" outlineLevel="0" collapsed="false">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ustomFormat="false" ht="15.75" hidden="false" customHeight="false" outlineLevel="0" collapsed="false">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ustomFormat="false" ht="15.75" hidden="false" customHeight="false" outlineLevel="0" collapsed="false">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ustomFormat="false" ht="15.75" hidden="false" customHeight="false" outlineLevel="0" collapsed="false">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ustomFormat="false" ht="15.75" hidden="false" customHeight="false" outlineLevel="0" collapsed="false">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ustomFormat="false" ht="15.75" hidden="false" customHeight="false" outlineLevel="0" collapsed="false">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ustomFormat="false" ht="15.75" hidden="false" customHeight="false" outlineLevel="0" collapsed="false">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ustomFormat="false" ht="15.75" hidden="false" customHeight="false" outlineLevel="0" collapsed="false">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ustomFormat="false" ht="15.75" hidden="false" customHeight="false" outlineLevel="0" collapsed="false">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ustomFormat="false" ht="15.75" hidden="false" customHeight="false" outlineLevel="0" collapsed="false">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ustomFormat="false" ht="15.75" hidden="false" customHeight="false" outlineLevel="0" collapsed="false">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ustomFormat="false" ht="15.75" hidden="false" customHeight="false" outlineLevel="0" collapsed="false">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ustomFormat="false" ht="15.75" hidden="false" customHeight="false" outlineLevel="0" collapsed="false">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ustomFormat="false" ht="15.75" hidden="false" customHeight="false" outlineLevel="0" collapsed="false">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ustomFormat="false" ht="15.75" hidden="false" customHeight="false" outlineLevel="0" collapsed="false">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ustomFormat="false" ht="15.75" hidden="false" customHeight="false" outlineLevel="0" collapsed="false">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ustomFormat="false" ht="15.75" hidden="false" customHeight="false" outlineLevel="0" collapsed="false">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ustomFormat="false" ht="15.75" hidden="false" customHeight="false" outlineLevel="0" collapsed="false">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ustomFormat="false" ht="15.75" hidden="false" customHeight="false" outlineLevel="0" collapsed="false">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ustomFormat="false" ht="15.75" hidden="false" customHeight="false" outlineLevel="0" collapsed="false">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ustomFormat="false" ht="15.75" hidden="false" customHeight="false" outlineLevel="0" collapsed="false">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ustomFormat="false" ht="15.75" hidden="false" customHeight="false" outlineLevel="0" collapsed="false">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ustomFormat="false" ht="15.75" hidden="false" customHeight="false" outlineLevel="0" collapsed="false">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ustomFormat="false" ht="15.75" hidden="false" customHeight="false" outlineLevel="0" collapsed="false">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ustomFormat="false" ht="15.75" hidden="false" customHeight="false" outlineLevel="0" collapsed="false">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ustomFormat="false" ht="15.75" hidden="false" customHeight="false" outlineLevel="0" collapsed="false">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ustomFormat="false" ht="15.75" hidden="false" customHeight="false" outlineLevel="0" collapsed="false">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ustomFormat="false" ht="15.75" hidden="false" customHeight="false" outlineLevel="0" collapsed="false">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ustomFormat="false" ht="15.75" hidden="false" customHeight="false" outlineLevel="0" collapsed="false">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ustomFormat="false" ht="15.75" hidden="false" customHeight="false" outlineLevel="0" collapsed="false">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ustomFormat="false" ht="15.75" hidden="false" customHeight="false" outlineLevel="0" collapsed="false">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ustomFormat="false" ht="15.75" hidden="false" customHeight="false" outlineLevel="0" collapsed="false">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ustomFormat="false" ht="15.75" hidden="false" customHeight="false" outlineLevel="0" collapsed="false">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ustomFormat="false" ht="15.75" hidden="false" customHeight="false" outlineLevel="0" collapsed="false">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ustomFormat="false" ht="15.75" hidden="false" customHeight="false" outlineLevel="0" collapsed="false">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ustomFormat="false" ht="15.75" hidden="false" customHeight="false" outlineLevel="0" collapsed="false">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ustomFormat="false" ht="15.75" hidden="false" customHeight="false" outlineLevel="0" collapsed="false">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ustomFormat="false" ht="15.75" hidden="false" customHeight="false" outlineLevel="0" collapsed="false">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ustomFormat="false" ht="15.75" hidden="false" customHeight="false" outlineLevel="0" collapsed="false">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ustomFormat="false" ht="15.75" hidden="false" customHeight="false" outlineLevel="0" collapsed="false">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ustomFormat="false" ht="15.75" hidden="false" customHeight="false" outlineLevel="0" collapsed="false">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ustomFormat="false" ht="15.75" hidden="false" customHeight="false" outlineLevel="0" collapsed="false">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ustomFormat="false" ht="15.75" hidden="false" customHeight="false" outlineLevel="0" collapsed="false">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ustomFormat="false" ht="15.75" hidden="false" customHeight="false" outlineLevel="0" collapsed="false">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ustomFormat="false" ht="15.75" hidden="false" customHeight="false" outlineLevel="0" collapsed="false">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ustomFormat="false" ht="15.75" hidden="false" customHeight="false" outlineLevel="0" collapsed="false">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ustomFormat="false" ht="15.75" hidden="false" customHeight="false" outlineLevel="0" collapsed="false">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ustomFormat="false" ht="15.75" hidden="false" customHeight="false" outlineLevel="0" collapsed="false">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ustomFormat="false" ht="15.75" hidden="false" customHeight="false" outlineLevel="0" collapsed="false">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ustomFormat="false" ht="15.75" hidden="false" customHeight="false" outlineLevel="0" collapsed="false">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ustomFormat="false" ht="15.75" hidden="false" customHeight="false" outlineLevel="0" collapsed="false">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ustomFormat="false" ht="15.75" hidden="false" customHeight="false" outlineLevel="0" collapsed="false">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ustomFormat="false" ht="15.75" hidden="false" customHeight="false" outlineLevel="0" collapsed="false">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ustomFormat="false" ht="15.75" hidden="false" customHeight="false" outlineLevel="0" collapsed="false">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ustomFormat="false" ht="15.75" hidden="false" customHeight="false" outlineLevel="0" collapsed="false">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ustomFormat="false" ht="15.75" hidden="false" customHeight="false" outlineLevel="0" collapsed="false">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ustomFormat="false" ht="15.75" hidden="false" customHeight="false" outlineLevel="0" collapsed="false">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ustomFormat="false" ht="15.75" hidden="false" customHeight="false" outlineLevel="0" collapsed="false">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ustomFormat="false" ht="15.75" hidden="false" customHeight="false" outlineLevel="0" collapsed="false">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ustomFormat="false" ht="15.75" hidden="false" customHeight="false" outlineLevel="0" collapsed="false">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ustomFormat="false" ht="15.75" hidden="false" customHeight="false" outlineLevel="0" collapsed="false">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ustomFormat="false" ht="15.75" hidden="false" customHeight="false" outlineLevel="0" collapsed="false">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ustomFormat="false" ht="15.75" hidden="false" customHeight="false" outlineLevel="0" collapsed="false">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ustomFormat="false" ht="15.75" hidden="false" customHeight="false" outlineLevel="0" collapsed="false">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ustomFormat="false" ht="15.75" hidden="false" customHeight="false" outlineLevel="0" collapsed="false">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ustomFormat="false" ht="15.75" hidden="false" customHeight="false" outlineLevel="0" collapsed="false">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ustomFormat="false" ht="15.75" hidden="false" customHeight="false" outlineLevel="0" collapsed="false">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ustomFormat="false" ht="15.75" hidden="false" customHeight="false" outlineLevel="0" collapsed="false">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ustomFormat="false" ht="15.75" hidden="false" customHeight="false" outlineLevel="0" collapsed="false">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ustomFormat="false" ht="15.75" hidden="false" customHeight="false" outlineLevel="0" collapsed="false">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ustomFormat="false" ht="15.75" hidden="false" customHeight="false" outlineLevel="0" collapsed="false">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ustomFormat="false" ht="15.75" hidden="false" customHeight="false" outlineLevel="0" collapsed="false">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ustomFormat="false" ht="15.75" hidden="false" customHeight="false" outlineLevel="0" collapsed="false">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ustomFormat="false" ht="15.75" hidden="false" customHeight="false" outlineLevel="0" collapsed="false">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ustomFormat="false" ht="15.75" hidden="false" customHeight="false" outlineLevel="0" collapsed="false">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ustomFormat="false" ht="15.75" hidden="false" customHeight="false" outlineLevel="0" collapsed="false">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ustomFormat="false" ht="15.75" hidden="false" customHeight="false" outlineLevel="0" collapsed="false">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ustomFormat="false" ht="15.75" hidden="false" customHeight="false" outlineLevel="0" collapsed="false">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ustomFormat="false" ht="15.75" hidden="false" customHeight="false" outlineLevel="0" collapsed="false">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ustomFormat="false" ht="15.75" hidden="false" customHeight="false" outlineLevel="0" collapsed="false">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ustomFormat="false" ht="15.75" hidden="false" customHeight="false" outlineLevel="0" collapsed="false">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ustomFormat="false" ht="15.75" hidden="false" customHeight="false" outlineLevel="0" collapsed="false">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ustomFormat="false" ht="15.75" hidden="false" customHeight="false" outlineLevel="0" collapsed="false">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ustomFormat="false" ht="15.75" hidden="false" customHeight="false" outlineLevel="0" collapsed="false">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ustomFormat="false" ht="15.75" hidden="false" customHeight="false" outlineLevel="0" collapsed="false">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ustomFormat="false" ht="15.75" hidden="false" customHeight="false" outlineLevel="0" collapsed="false">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ustomFormat="false" ht="15.75" hidden="false" customHeight="false" outlineLevel="0" collapsed="false">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ustomFormat="false" ht="15.75" hidden="false" customHeight="false" outlineLevel="0" collapsed="false">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ustomFormat="false" ht="15.75" hidden="false" customHeight="false" outlineLevel="0" collapsed="false">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ustomFormat="false" ht="15.75" hidden="false" customHeight="false" outlineLevel="0" collapsed="false">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ustomFormat="false" ht="15.75" hidden="false" customHeight="false" outlineLevel="0" collapsed="false">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ustomFormat="false" ht="15.75" hidden="false" customHeight="false" outlineLevel="0" collapsed="false">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ustomFormat="false" ht="15.75" hidden="false" customHeight="false" outlineLevel="0" collapsed="false">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ustomFormat="false" ht="15.75" hidden="false" customHeight="false" outlineLevel="0" collapsed="false">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ustomFormat="false" ht="15.75" hidden="false" customHeight="false" outlineLevel="0" collapsed="false">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ustomFormat="false" ht="15.75" hidden="false" customHeight="false" outlineLevel="0" collapsed="false">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ustomFormat="false" ht="15.75" hidden="false" customHeight="false" outlineLevel="0" collapsed="false">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ustomFormat="false" ht="15.75" hidden="false" customHeight="false" outlineLevel="0" collapsed="false">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ustomFormat="false" ht="15.75" hidden="false" customHeight="false" outlineLevel="0" collapsed="false">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ustomFormat="false" ht="15.75" hidden="false" customHeight="false" outlineLevel="0" collapsed="false">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ustomFormat="false" ht="15.75" hidden="false" customHeight="false" outlineLevel="0" collapsed="false">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ustomFormat="false" ht="15.75" hidden="false" customHeight="false" outlineLevel="0" collapsed="false">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ustomFormat="false" ht="15.75" hidden="false" customHeight="false" outlineLevel="0" collapsed="false">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ustomFormat="false" ht="15.75" hidden="false" customHeight="false" outlineLevel="0" collapsed="false">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ustomFormat="false" ht="15.75" hidden="false" customHeight="false" outlineLevel="0" collapsed="false">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ustomFormat="false" ht="15.75" hidden="false" customHeight="false" outlineLevel="0" collapsed="false">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ustomFormat="false" ht="15.75" hidden="false" customHeight="false" outlineLevel="0" collapsed="false">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ustomFormat="false" ht="15.75" hidden="false" customHeight="false" outlineLevel="0" collapsed="false">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ustomFormat="false" ht="15.75" hidden="false" customHeight="false" outlineLevel="0" collapsed="false">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ustomFormat="false" ht="15.75" hidden="false" customHeight="false" outlineLevel="0" collapsed="false">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ustomFormat="false" ht="15.75" hidden="false" customHeight="false" outlineLevel="0" collapsed="false">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ustomFormat="false" ht="15.75" hidden="false" customHeight="false" outlineLevel="0" collapsed="false">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ustomFormat="false" ht="15.75" hidden="false" customHeight="false" outlineLevel="0" collapsed="false">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ustomFormat="false" ht="15.75" hidden="false" customHeight="false" outlineLevel="0" collapsed="false">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ustomFormat="false" ht="15.75" hidden="false" customHeight="false" outlineLevel="0" collapsed="false">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ustomFormat="false" ht="15.75" hidden="false" customHeight="false" outlineLevel="0" collapsed="false">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ustomFormat="false" ht="15.75" hidden="false" customHeight="false" outlineLevel="0" collapsed="false">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ustomFormat="false" ht="15.75" hidden="false" customHeight="false" outlineLevel="0" collapsed="false">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ustomFormat="false" ht="15.75" hidden="false" customHeight="false" outlineLevel="0" collapsed="false">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ustomFormat="false" ht="15.75" hidden="false" customHeight="false" outlineLevel="0" collapsed="false">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ustomFormat="false" ht="15.75" hidden="false" customHeight="false" outlineLevel="0" collapsed="false">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ustomFormat="false" ht="15.75" hidden="false" customHeight="false" outlineLevel="0" collapsed="false">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ustomFormat="false" ht="15.75" hidden="false" customHeight="false" outlineLevel="0" collapsed="false">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ustomFormat="false" ht="15.75" hidden="false" customHeight="false" outlineLevel="0" collapsed="false">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ustomFormat="false" ht="15.75" hidden="false" customHeight="false" outlineLevel="0" collapsed="false">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ustomFormat="false" ht="15.75" hidden="false" customHeight="false" outlineLevel="0" collapsed="false">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ustomFormat="false" ht="15.75" hidden="false" customHeight="false" outlineLevel="0" collapsed="false">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ustomFormat="false" ht="15.75" hidden="false" customHeight="false" outlineLevel="0" collapsed="false">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ustomFormat="false" ht="15.75" hidden="false" customHeight="false" outlineLevel="0" collapsed="false">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ustomFormat="false" ht="15.75" hidden="false" customHeight="false" outlineLevel="0" collapsed="false">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ustomFormat="false" ht="15.75" hidden="false" customHeight="false" outlineLevel="0" collapsed="false">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ustomFormat="false" ht="15.75" hidden="false" customHeight="false" outlineLevel="0" collapsed="false">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ustomFormat="false" ht="15.75" hidden="false" customHeight="false" outlineLevel="0" collapsed="false">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ustomFormat="false" ht="15.75" hidden="false" customHeight="false" outlineLevel="0" collapsed="false">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ustomFormat="false" ht="15.75" hidden="false" customHeight="false" outlineLevel="0" collapsed="false">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ustomFormat="false" ht="15.75" hidden="false" customHeight="false" outlineLevel="0" collapsed="false">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ustomFormat="false" ht="15.75" hidden="false" customHeight="false" outlineLevel="0" collapsed="false">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ustomFormat="false" ht="15.75" hidden="false" customHeight="false" outlineLevel="0" collapsed="false">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ustomFormat="false" ht="15.75" hidden="false" customHeight="false" outlineLevel="0" collapsed="false">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ustomFormat="false" ht="15.75" hidden="false" customHeight="false" outlineLevel="0" collapsed="false">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ustomFormat="false" ht="15.75" hidden="false" customHeight="false" outlineLevel="0" collapsed="false">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ustomFormat="false" ht="15.75" hidden="false" customHeight="false" outlineLevel="0" collapsed="false">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ustomFormat="false" ht="15.75" hidden="false" customHeight="false" outlineLevel="0" collapsed="false">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ustomFormat="false" ht="15.75" hidden="false" customHeight="false" outlineLevel="0" collapsed="false">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ustomFormat="false" ht="15.75" hidden="false" customHeight="false" outlineLevel="0" collapsed="false">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ustomFormat="false" ht="15.75" hidden="false" customHeight="false" outlineLevel="0" collapsed="false">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ustomFormat="false" ht="15.75" hidden="false" customHeight="false" outlineLevel="0" collapsed="false">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ustomFormat="false" ht="15.75" hidden="false" customHeight="false" outlineLevel="0" collapsed="false">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ustomFormat="false" ht="15.75" hidden="false" customHeight="false" outlineLevel="0" collapsed="false">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ustomFormat="false" ht="15.75" hidden="false" customHeight="false" outlineLevel="0" collapsed="false">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ustomFormat="false" ht="15.75" hidden="false" customHeight="false" outlineLevel="0" collapsed="false">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ustomFormat="false" ht="15.75" hidden="false" customHeight="false" outlineLevel="0" collapsed="false">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ustomFormat="false" ht="15.75" hidden="false" customHeight="false" outlineLevel="0" collapsed="false">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ustomFormat="false" ht="15.75" hidden="false" customHeight="false" outlineLevel="0" collapsed="false">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ustomFormat="false" ht="15.75" hidden="false" customHeight="false" outlineLevel="0" collapsed="false">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ustomFormat="false" ht="15.75" hidden="false" customHeight="false" outlineLevel="0" collapsed="false">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ustomFormat="false" ht="15.75" hidden="false" customHeight="false" outlineLevel="0" collapsed="false">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ustomFormat="false" ht="15.75" hidden="false" customHeight="false" outlineLevel="0" collapsed="false">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ustomFormat="false" ht="15.75" hidden="false" customHeight="false" outlineLevel="0" collapsed="false">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ustomFormat="false" ht="15.75" hidden="false" customHeight="false" outlineLevel="0" collapsed="false">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ustomFormat="false" ht="15.75" hidden="false" customHeight="false" outlineLevel="0" collapsed="false">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ustomFormat="false" ht="15.75" hidden="false" customHeight="false" outlineLevel="0" collapsed="false">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ustomFormat="false" ht="15.75" hidden="false" customHeight="false" outlineLevel="0" collapsed="false">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ustomFormat="false" ht="15.75" hidden="false" customHeight="false" outlineLevel="0" collapsed="false">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ustomFormat="false" ht="15.75" hidden="false" customHeight="false" outlineLevel="0" collapsed="false">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ustomFormat="false" ht="15.75" hidden="false" customHeight="false" outlineLevel="0" collapsed="false">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ustomFormat="false" ht="15.75" hidden="false" customHeight="false" outlineLevel="0" collapsed="false">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ustomFormat="false" ht="15.75" hidden="false" customHeight="false" outlineLevel="0" collapsed="false">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ustomFormat="false" ht="15.75" hidden="false" customHeight="false" outlineLevel="0" collapsed="false">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ustomFormat="false" ht="15.75" hidden="false" customHeight="false" outlineLevel="0" collapsed="false">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ustomFormat="false" ht="15.75" hidden="false" customHeight="false" outlineLevel="0" collapsed="false">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ustomFormat="false" ht="15.75" hidden="false" customHeight="false" outlineLevel="0" collapsed="false">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ustomFormat="false" ht="15.75" hidden="false" customHeight="false" outlineLevel="0" collapsed="false">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ustomFormat="false" ht="15.75" hidden="false" customHeight="false" outlineLevel="0" collapsed="false">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ustomFormat="false" ht="15.75" hidden="false" customHeight="false" outlineLevel="0" collapsed="false">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ustomFormat="false" ht="15.75" hidden="false" customHeight="false" outlineLevel="0" collapsed="false">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ustomFormat="false" ht="15.75" hidden="false" customHeight="false" outlineLevel="0" collapsed="false">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ustomFormat="false" ht="15.75" hidden="false" customHeight="false" outlineLevel="0" collapsed="false">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ustomFormat="false" ht="15.75" hidden="false" customHeight="false" outlineLevel="0" collapsed="false">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ustomFormat="false" ht="15.75" hidden="false" customHeight="false" outlineLevel="0" collapsed="false">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ustomFormat="false" ht="15.75" hidden="false" customHeight="false" outlineLevel="0" collapsed="false">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ustomFormat="false" ht="15.75" hidden="false" customHeight="false" outlineLevel="0" collapsed="false">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ustomFormat="false" ht="15.75" hidden="false" customHeight="false" outlineLevel="0" collapsed="false">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ustomFormat="false" ht="15.75" hidden="false" customHeight="false" outlineLevel="0" collapsed="false">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ustomFormat="false" ht="15.75" hidden="false" customHeight="false" outlineLevel="0" collapsed="false">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ustomFormat="false" ht="15.75" hidden="false" customHeight="false" outlineLevel="0" collapsed="false">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ustomFormat="false" ht="15.75" hidden="false" customHeight="false" outlineLevel="0" collapsed="false">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ustomFormat="false" ht="15.75" hidden="false" customHeight="false" outlineLevel="0" collapsed="false">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ustomFormat="false" ht="15.75" hidden="false" customHeight="false" outlineLevel="0" collapsed="false">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ustomFormat="false" ht="15.75" hidden="false" customHeight="false" outlineLevel="0" collapsed="false">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ustomFormat="false" ht="15.75" hidden="false" customHeight="false" outlineLevel="0" collapsed="false">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ustomFormat="false" ht="15.75" hidden="false" customHeight="false" outlineLevel="0" collapsed="false">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ustomFormat="false" ht="15.75" hidden="false" customHeight="false" outlineLevel="0" collapsed="false">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ustomFormat="false" ht="15.75" hidden="false" customHeight="false" outlineLevel="0" collapsed="false">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ustomFormat="false" ht="15.75" hidden="false" customHeight="false" outlineLevel="0" collapsed="false">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ustomFormat="false" ht="15.75" hidden="false" customHeight="false" outlineLevel="0" collapsed="false">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ustomFormat="false" ht="15.75" hidden="false" customHeight="false" outlineLevel="0" collapsed="false">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ustomFormat="false" ht="15.75" hidden="false" customHeight="false" outlineLevel="0" collapsed="false">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ustomFormat="false" ht="15.75" hidden="false" customHeight="false" outlineLevel="0" collapsed="false">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ustomFormat="false" ht="15.75" hidden="false" customHeight="false" outlineLevel="0" collapsed="false">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ustomFormat="false" ht="15.75" hidden="false" customHeight="false" outlineLevel="0" collapsed="false">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ustomFormat="false" ht="15.75" hidden="false" customHeight="false" outlineLevel="0" collapsed="false">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ustomFormat="false" ht="15.75" hidden="false" customHeight="false" outlineLevel="0" collapsed="false">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ustomFormat="false" ht="15.75" hidden="false" customHeight="false" outlineLevel="0" collapsed="false">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ustomFormat="false" ht="15.75" hidden="false" customHeight="false" outlineLevel="0" collapsed="false">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ustomFormat="false" ht="15.75" hidden="false" customHeight="false" outlineLevel="0" collapsed="false">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ustomFormat="false" ht="15.75" hidden="false" customHeight="false" outlineLevel="0" collapsed="false">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ustomFormat="false" ht="15.75" hidden="false" customHeight="false" outlineLevel="0" collapsed="false">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ustomFormat="false" ht="15.75" hidden="false" customHeight="false" outlineLevel="0" collapsed="false">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ustomFormat="false" ht="15.75" hidden="false" customHeight="false" outlineLevel="0" collapsed="false">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ustomFormat="false" ht="15.75" hidden="false" customHeight="false" outlineLevel="0" collapsed="false">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ustomFormat="false" ht="15.75" hidden="false" customHeight="false" outlineLevel="0" collapsed="false">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ustomFormat="false" ht="15.75" hidden="false" customHeight="false" outlineLevel="0" collapsed="false">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ustomFormat="false" ht="15.75" hidden="false" customHeight="false" outlineLevel="0" collapsed="false">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ustomFormat="false" ht="15.75" hidden="false" customHeight="false" outlineLevel="0" collapsed="false">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ustomFormat="false" ht="15.75" hidden="false" customHeight="false" outlineLevel="0" collapsed="false">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ustomFormat="false" ht="15.75" hidden="false" customHeight="false" outlineLevel="0" collapsed="false">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ustomFormat="false" ht="15.75" hidden="false" customHeight="false" outlineLevel="0" collapsed="false">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ustomFormat="false" ht="15.75" hidden="false" customHeight="false" outlineLevel="0" collapsed="false">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ustomFormat="false" ht="15.75" hidden="false" customHeight="false" outlineLevel="0" collapsed="false">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ustomFormat="false" ht="15.75" hidden="false" customHeight="false" outlineLevel="0" collapsed="false">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ustomFormat="false" ht="15.75" hidden="false" customHeight="false" outlineLevel="0" collapsed="false">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ustomFormat="false" ht="15.75" hidden="false" customHeight="false" outlineLevel="0" collapsed="false">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ustomFormat="false" ht="15.75" hidden="false" customHeight="false" outlineLevel="0" collapsed="false">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ustomFormat="false" ht="15.75" hidden="false" customHeight="false" outlineLevel="0" collapsed="false">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ustomFormat="false" ht="15.75" hidden="false" customHeight="false" outlineLevel="0" collapsed="false">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ustomFormat="false" ht="15.75" hidden="false" customHeight="false" outlineLevel="0" collapsed="false">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ustomFormat="false" ht="15.75" hidden="false" customHeight="false" outlineLevel="0" collapsed="false">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ustomFormat="false" ht="15.75" hidden="false" customHeight="false" outlineLevel="0" collapsed="false">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ustomFormat="false" ht="15.75" hidden="false" customHeight="false" outlineLevel="0" collapsed="false">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ustomFormat="false" ht="15.75" hidden="false" customHeight="false" outlineLevel="0" collapsed="false">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ustomFormat="false" ht="15.75" hidden="false" customHeight="false" outlineLevel="0" collapsed="false">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ustomFormat="false" ht="15.75" hidden="false" customHeight="false" outlineLevel="0" collapsed="false">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ustomFormat="false" ht="15.75" hidden="false" customHeight="false" outlineLevel="0" collapsed="false">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ustomFormat="false" ht="15.75" hidden="false" customHeight="false" outlineLevel="0" collapsed="false">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ustomFormat="false" ht="15.75" hidden="false" customHeight="false" outlineLevel="0" collapsed="false">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ustomFormat="false" ht="15.75" hidden="false" customHeight="false" outlineLevel="0" collapsed="false">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ustomFormat="false" ht="15.75" hidden="false" customHeight="false" outlineLevel="0" collapsed="false">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ustomFormat="false" ht="15.75" hidden="false" customHeight="false" outlineLevel="0" collapsed="false">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ustomFormat="false" ht="15.75" hidden="false" customHeight="false" outlineLevel="0" collapsed="false">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ustomFormat="false" ht="15.75" hidden="false" customHeight="false" outlineLevel="0" collapsed="false">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ustomFormat="false" ht="15.75" hidden="false" customHeight="false" outlineLevel="0" collapsed="false">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ustomFormat="false" ht="15.75" hidden="false" customHeight="false" outlineLevel="0" collapsed="false">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ustomFormat="false" ht="15.75" hidden="false" customHeight="false" outlineLevel="0" collapsed="false">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ustomFormat="false" ht="15.75" hidden="false" customHeight="false" outlineLevel="0" collapsed="false">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ustomFormat="false" ht="15.75" hidden="false" customHeight="false" outlineLevel="0" collapsed="false">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ustomFormat="false" ht="15.75" hidden="false" customHeight="false" outlineLevel="0" collapsed="false">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ustomFormat="false" ht="15.75" hidden="false" customHeight="false" outlineLevel="0" collapsed="false">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ustomFormat="false" ht="15.75" hidden="false" customHeight="false" outlineLevel="0" collapsed="false">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ustomFormat="false" ht="15.75" hidden="false" customHeight="false" outlineLevel="0" collapsed="false">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ustomFormat="false" ht="15.75" hidden="false" customHeight="false" outlineLevel="0" collapsed="false">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ustomFormat="false" ht="15.75" hidden="false" customHeight="false" outlineLevel="0" collapsed="false">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ustomFormat="false" ht="15.75" hidden="false" customHeight="false" outlineLevel="0" collapsed="false">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ustomFormat="false" ht="15.75" hidden="false" customHeight="false" outlineLevel="0" collapsed="false">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ustomFormat="false" ht="15.75" hidden="false" customHeight="false" outlineLevel="0" collapsed="false">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ustomFormat="false" ht="15.75" hidden="false" customHeight="false" outlineLevel="0" collapsed="false">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ustomFormat="false" ht="15.75" hidden="false" customHeight="false" outlineLevel="0" collapsed="false">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ustomFormat="false" ht="15.75" hidden="false" customHeight="false" outlineLevel="0" collapsed="false">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ustomFormat="false" ht="15.75" hidden="false" customHeight="false" outlineLevel="0" collapsed="false">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ustomFormat="false" ht="15.75" hidden="false" customHeight="false" outlineLevel="0" collapsed="false">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ustomFormat="false" ht="15.75" hidden="false" customHeight="false" outlineLevel="0" collapsed="false">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ustomFormat="false" ht="15.75" hidden="false" customHeight="false" outlineLevel="0" collapsed="false">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ustomFormat="false" ht="15.75" hidden="false" customHeight="false" outlineLevel="0" collapsed="false">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ustomFormat="false" ht="15.75" hidden="false" customHeight="false" outlineLevel="0" collapsed="false">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ustomFormat="false" ht="15.75" hidden="false" customHeight="false" outlineLevel="0" collapsed="false">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ustomFormat="false" ht="15.75" hidden="false" customHeight="false" outlineLevel="0" collapsed="false">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ustomFormat="false" ht="15.75" hidden="false" customHeight="false" outlineLevel="0" collapsed="false">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ustomFormat="false" ht="15.75" hidden="false" customHeight="false" outlineLevel="0" collapsed="false">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ustomFormat="false" ht="15.75" hidden="false" customHeight="false" outlineLevel="0" collapsed="false">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ustomFormat="false" ht="15.75" hidden="false" customHeight="false" outlineLevel="0" collapsed="false">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ustomFormat="false" ht="15.75" hidden="false" customHeight="false" outlineLevel="0" collapsed="false">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ustomFormat="false" ht="15.75" hidden="false" customHeight="false" outlineLevel="0" collapsed="false">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ustomFormat="false" ht="15.75" hidden="false" customHeight="false" outlineLevel="0" collapsed="false">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ustomFormat="false" ht="15.75" hidden="false" customHeight="false" outlineLevel="0" collapsed="false">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ustomFormat="false" ht="15.75" hidden="false" customHeight="false" outlineLevel="0" collapsed="false">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ustomFormat="false" ht="15.75" hidden="false" customHeight="false" outlineLevel="0" collapsed="false">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ustomFormat="false" ht="15.75" hidden="false" customHeight="false" outlineLevel="0" collapsed="false">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ustomFormat="false" ht="15.75" hidden="false" customHeight="false" outlineLevel="0" collapsed="false">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ustomFormat="false" ht="15.75" hidden="false" customHeight="false" outlineLevel="0" collapsed="false">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ustomFormat="false" ht="15.75" hidden="false" customHeight="false" outlineLevel="0" collapsed="false">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ustomFormat="false" ht="15.75" hidden="false" customHeight="false" outlineLevel="0" collapsed="false">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ustomFormat="false" ht="15.75" hidden="false" customHeight="false" outlineLevel="0" collapsed="false">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ustomFormat="false" ht="15.75" hidden="false" customHeight="false" outlineLevel="0" collapsed="false">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ustomFormat="false" ht="15.75" hidden="false" customHeight="false" outlineLevel="0" collapsed="false">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ustomFormat="false" ht="15.75" hidden="false" customHeight="false" outlineLevel="0" collapsed="false">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ustomFormat="false" ht="15.75" hidden="false" customHeight="false" outlineLevel="0" collapsed="false">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ustomFormat="false" ht="15.75" hidden="false" customHeight="false" outlineLevel="0" collapsed="false">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ustomFormat="false" ht="15.75" hidden="false" customHeight="false" outlineLevel="0" collapsed="false">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ustomFormat="false" ht="15.75" hidden="false" customHeight="false" outlineLevel="0" collapsed="false">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ustomFormat="false" ht="15.75" hidden="false" customHeight="false" outlineLevel="0" collapsed="false">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ustomFormat="false" ht="15.75" hidden="false" customHeight="false" outlineLevel="0" collapsed="false">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ustomFormat="false" ht="15.75" hidden="false" customHeight="false" outlineLevel="0" collapsed="false">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ustomFormat="false" ht="15.75" hidden="false" customHeight="false" outlineLevel="0" collapsed="false">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ustomFormat="false" ht="15.75" hidden="false" customHeight="false" outlineLevel="0" collapsed="false">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ustomFormat="false" ht="15.75" hidden="false" customHeight="false" outlineLevel="0" collapsed="false">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ustomFormat="false" ht="15.75" hidden="false" customHeight="false" outlineLevel="0" collapsed="false">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ustomFormat="false" ht="15.75" hidden="false" customHeight="false" outlineLevel="0" collapsed="false">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ustomFormat="false" ht="15.75" hidden="false" customHeight="false" outlineLevel="0" collapsed="false">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ustomFormat="false" ht="15.75" hidden="false" customHeight="false" outlineLevel="0" collapsed="false">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ustomFormat="false" ht="15.75" hidden="false" customHeight="false" outlineLevel="0" collapsed="false">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ustomFormat="false" ht="15.75" hidden="false" customHeight="false" outlineLevel="0" collapsed="false">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ustomFormat="false" ht="15.75" hidden="false" customHeight="false" outlineLevel="0" collapsed="false">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ustomFormat="false" ht="15.75" hidden="false" customHeight="false" outlineLevel="0" collapsed="false">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ustomFormat="false" ht="15.75" hidden="false" customHeight="false" outlineLevel="0" collapsed="false">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ustomFormat="false" ht="15.75" hidden="false" customHeight="false" outlineLevel="0" collapsed="false">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ustomFormat="false" ht="15.75" hidden="false" customHeight="false" outlineLevel="0" collapsed="false">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ustomFormat="false" ht="15.75" hidden="false" customHeight="false" outlineLevel="0" collapsed="false">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ustomFormat="false" ht="15.75" hidden="false" customHeight="false" outlineLevel="0" collapsed="false">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ustomFormat="false" ht="15.75" hidden="false" customHeight="false" outlineLevel="0" collapsed="false">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ustomFormat="false" ht="15.75" hidden="false" customHeight="false" outlineLevel="0" collapsed="false">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ustomFormat="false" ht="15.75" hidden="false" customHeight="false" outlineLevel="0" collapsed="false">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ustomFormat="false" ht="15.75" hidden="false" customHeight="false" outlineLevel="0" collapsed="false">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ustomFormat="false" ht="15.75" hidden="false" customHeight="false" outlineLevel="0" collapsed="false">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ustomFormat="false" ht="15.75" hidden="false" customHeight="false" outlineLevel="0" collapsed="false">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ustomFormat="false" ht="15.75" hidden="false" customHeight="false" outlineLevel="0" collapsed="false">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ustomFormat="false" ht="15.75" hidden="false" customHeight="false" outlineLevel="0" collapsed="false">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ustomFormat="false" ht="15.75" hidden="false" customHeight="false" outlineLevel="0" collapsed="false">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ustomFormat="false" ht="15.75" hidden="false" customHeight="false" outlineLevel="0" collapsed="false">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ustomFormat="false" ht="15.75" hidden="false" customHeight="false" outlineLevel="0" collapsed="false">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ustomFormat="false" ht="15.75" hidden="false" customHeight="false" outlineLevel="0" collapsed="false">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ustomFormat="false" ht="15.75" hidden="false" customHeight="false" outlineLevel="0" collapsed="false">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ustomFormat="false" ht="15.75" hidden="false" customHeight="false" outlineLevel="0" collapsed="false">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ustomFormat="false" ht="15.75" hidden="false" customHeight="false" outlineLevel="0" collapsed="false">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ustomFormat="false" ht="15.75" hidden="false" customHeight="false" outlineLevel="0" collapsed="false">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ustomFormat="false" ht="15.75" hidden="false" customHeight="false" outlineLevel="0" collapsed="false">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ustomFormat="false" ht="15.75" hidden="false" customHeight="false" outlineLevel="0" collapsed="false">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ustomFormat="false" ht="15.75" hidden="false" customHeight="false" outlineLevel="0" collapsed="false">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ustomFormat="false" ht="15.75" hidden="false" customHeight="false" outlineLevel="0" collapsed="false">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ustomFormat="false" ht="15.75" hidden="false" customHeight="false" outlineLevel="0" collapsed="false">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ustomFormat="false" ht="15.75" hidden="false" customHeight="false" outlineLevel="0" collapsed="false">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ustomFormat="false" ht="15.75" hidden="false" customHeight="false" outlineLevel="0" collapsed="false">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ustomFormat="false" ht="15.75" hidden="false" customHeight="false" outlineLevel="0" collapsed="false">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ustomFormat="false" ht="15.75" hidden="false" customHeight="false" outlineLevel="0" collapsed="false">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ustomFormat="false" ht="15.75" hidden="false" customHeight="false" outlineLevel="0" collapsed="false">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ustomFormat="false" ht="15.75" hidden="false" customHeight="false" outlineLevel="0" collapsed="false">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ustomFormat="false" ht="15.75" hidden="false" customHeight="false" outlineLevel="0" collapsed="false">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ustomFormat="false" ht="15.75" hidden="false" customHeight="false" outlineLevel="0" collapsed="false">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ustomFormat="false" ht="15.75" hidden="false" customHeight="false" outlineLevel="0" collapsed="false">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ustomFormat="false" ht="15.75" hidden="false" customHeight="false" outlineLevel="0" collapsed="false">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ustomFormat="false" ht="15.75" hidden="false" customHeight="false" outlineLevel="0" collapsed="false">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ustomFormat="false" ht="15.75" hidden="false" customHeight="false" outlineLevel="0" collapsed="false">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ustomFormat="false" ht="15.75" hidden="false" customHeight="false" outlineLevel="0" collapsed="false">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ustomFormat="false" ht="15.75" hidden="false" customHeight="false" outlineLevel="0" collapsed="false">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ustomFormat="false" ht="15.75" hidden="false" customHeight="false" outlineLevel="0" collapsed="false">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ustomFormat="false" ht="15.75" hidden="false" customHeight="false" outlineLevel="0" collapsed="false">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ustomFormat="false" ht="15.75" hidden="false" customHeight="false" outlineLevel="0" collapsed="false">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ustomFormat="false" ht="15.75" hidden="false" customHeight="false" outlineLevel="0" collapsed="false">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ustomFormat="false" ht="15.75" hidden="false" customHeight="false" outlineLevel="0" collapsed="false">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ustomFormat="false" ht="15.75" hidden="false" customHeight="false" outlineLevel="0" collapsed="false">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ustomFormat="false" ht="15.75" hidden="false" customHeight="false" outlineLevel="0" collapsed="false">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ustomFormat="false" ht="15.75" hidden="false" customHeight="false" outlineLevel="0" collapsed="false">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ustomFormat="false" ht="15.75" hidden="false" customHeight="false" outlineLevel="0" collapsed="false">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ustomFormat="false" ht="15.75" hidden="false" customHeight="false" outlineLevel="0" collapsed="false">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ustomFormat="false" ht="15.75" hidden="false" customHeight="false" outlineLevel="0" collapsed="false">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ustomFormat="false" ht="15.75" hidden="false" customHeight="false" outlineLevel="0" collapsed="false">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ustomFormat="false" ht="15.75" hidden="false" customHeight="false" outlineLevel="0" collapsed="false">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ustomFormat="false" ht="15.75" hidden="false" customHeight="false" outlineLevel="0" collapsed="false">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ustomFormat="false" ht="15.75" hidden="false" customHeight="false" outlineLevel="0" collapsed="false">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ustomFormat="false" ht="15.75" hidden="false" customHeight="false" outlineLevel="0" collapsed="false">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ustomFormat="false" ht="15.75" hidden="false" customHeight="false" outlineLevel="0" collapsed="false">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ustomFormat="false" ht="15.75" hidden="false" customHeight="false" outlineLevel="0" collapsed="false">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ustomFormat="false" ht="15.75" hidden="false" customHeight="false" outlineLevel="0" collapsed="false">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ustomFormat="false" ht="15.75" hidden="false" customHeight="false" outlineLevel="0" collapsed="false">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ustomFormat="false" ht="15.75" hidden="false" customHeight="false" outlineLevel="0" collapsed="false">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ustomFormat="false" ht="15.75" hidden="false" customHeight="false" outlineLevel="0" collapsed="false">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ustomFormat="false" ht="15.75" hidden="false" customHeight="false" outlineLevel="0" collapsed="false">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ustomFormat="false" ht="15.75" hidden="false" customHeight="false" outlineLevel="0" collapsed="false">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ustomFormat="false" ht="15.75" hidden="false" customHeight="false" outlineLevel="0" collapsed="false">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ustomFormat="false" ht="15.75" hidden="false" customHeight="false" outlineLevel="0" collapsed="false">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ustomFormat="false" ht="15.75" hidden="false" customHeight="false" outlineLevel="0" collapsed="false">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ustomFormat="false" ht="15.75" hidden="false" customHeight="false" outlineLevel="0" collapsed="false">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ustomFormat="false" ht="15.75" hidden="false" customHeight="false" outlineLevel="0" collapsed="false">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ustomFormat="false" ht="15.75" hidden="false" customHeight="false" outlineLevel="0" collapsed="false">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ustomFormat="false" ht="15.75" hidden="false" customHeight="false" outlineLevel="0" collapsed="false">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ustomFormat="false" ht="15.75" hidden="false" customHeight="false" outlineLevel="0" collapsed="false">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ustomFormat="false" ht="15.75" hidden="false" customHeight="false" outlineLevel="0" collapsed="false">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ustomFormat="false" ht="15.75" hidden="false" customHeight="false" outlineLevel="0" collapsed="false">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ustomFormat="false" ht="15.75" hidden="false" customHeight="false" outlineLevel="0" collapsed="false">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ustomFormat="false" ht="15.75" hidden="false" customHeight="false" outlineLevel="0" collapsed="false">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ustomFormat="false" ht="15.75" hidden="false" customHeight="false" outlineLevel="0" collapsed="false">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ustomFormat="false" ht="15.75" hidden="false" customHeight="false" outlineLevel="0" collapsed="false">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ustomFormat="false" ht="15.75" hidden="false" customHeight="false" outlineLevel="0" collapsed="false">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ustomFormat="false" ht="15.75" hidden="false" customHeight="false" outlineLevel="0" collapsed="false">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ustomFormat="false" ht="15.75" hidden="false" customHeight="false" outlineLevel="0" collapsed="false">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ustomFormat="false" ht="15.75" hidden="false" customHeight="false" outlineLevel="0" collapsed="false">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ustomFormat="false" ht="15.75" hidden="false" customHeight="false" outlineLevel="0" collapsed="false">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ustomFormat="false" ht="15.75" hidden="false" customHeight="false" outlineLevel="0" collapsed="false">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ustomFormat="false" ht="15.75" hidden="false" customHeight="false" outlineLevel="0" collapsed="false">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ustomFormat="false" ht="15.75" hidden="false" customHeight="false" outlineLevel="0" collapsed="false">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ustomFormat="false" ht="15.75" hidden="false" customHeight="false" outlineLevel="0" collapsed="false">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ustomFormat="false" ht="15.75" hidden="false" customHeight="false" outlineLevel="0" collapsed="false">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ustomFormat="false" ht="15.75" hidden="false" customHeight="false" outlineLevel="0" collapsed="false">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ustomFormat="false" ht="15.75" hidden="false" customHeight="false" outlineLevel="0" collapsed="false">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ustomFormat="false" ht="15.75" hidden="false" customHeight="false" outlineLevel="0" collapsed="false">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ustomFormat="false" ht="15.75" hidden="false" customHeight="false" outlineLevel="0" collapsed="false">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ustomFormat="false" ht="15.75" hidden="false" customHeight="false" outlineLevel="0" collapsed="false">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ustomFormat="false" ht="15.75" hidden="false" customHeight="false" outlineLevel="0" collapsed="false">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ustomFormat="false" ht="15.75" hidden="false" customHeight="false" outlineLevel="0" collapsed="false">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ustomFormat="false" ht="15.75" hidden="false" customHeight="false" outlineLevel="0" collapsed="false">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ustomFormat="false" ht="15.75" hidden="false" customHeight="false" outlineLevel="0" collapsed="false">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ustomFormat="false" ht="15.75" hidden="false" customHeight="false" outlineLevel="0" collapsed="false">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ustomFormat="false" ht="15.75" hidden="false" customHeight="false" outlineLevel="0" collapsed="false">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ustomFormat="false" ht="15.75" hidden="false" customHeight="false" outlineLevel="0" collapsed="false">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ustomFormat="false" ht="15.75" hidden="false" customHeight="false" outlineLevel="0" collapsed="false">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ustomFormat="false" ht="15.75" hidden="false" customHeight="false" outlineLevel="0" collapsed="false">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ustomFormat="false" ht="15.75" hidden="false" customHeight="false" outlineLevel="0" collapsed="false">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ustomFormat="false" ht="15.75" hidden="false" customHeight="false" outlineLevel="0" collapsed="false">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ustomFormat="false" ht="15.75" hidden="false" customHeight="false" outlineLevel="0" collapsed="false">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ustomFormat="false" ht="15.75" hidden="false" customHeight="false" outlineLevel="0" collapsed="false">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ustomFormat="false" ht="15.75" hidden="false" customHeight="false" outlineLevel="0" collapsed="false">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ustomFormat="false" ht="15.75" hidden="false" customHeight="false" outlineLevel="0" collapsed="false">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ustomFormat="false" ht="15.75" hidden="false" customHeight="false" outlineLevel="0" collapsed="false">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ustomFormat="false" ht="15.75" hidden="false" customHeight="false" outlineLevel="0" collapsed="false">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ustomFormat="false" ht="15.75" hidden="false" customHeight="false" outlineLevel="0" collapsed="false">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ustomFormat="false" ht="15.75" hidden="false" customHeight="false" outlineLevel="0" collapsed="false">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ustomFormat="false" ht="15.75" hidden="false" customHeight="false" outlineLevel="0" collapsed="false">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ustomFormat="false" ht="15.75" hidden="false" customHeight="false" outlineLevel="0" collapsed="false">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ustomFormat="false" ht="15.75" hidden="false" customHeight="false" outlineLevel="0" collapsed="false">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ustomFormat="false" ht="15.75" hidden="false" customHeight="false" outlineLevel="0" collapsed="false">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ustomFormat="false" ht="15.75" hidden="false" customHeight="false" outlineLevel="0" collapsed="false">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ustomFormat="false" ht="15.75" hidden="false" customHeight="false" outlineLevel="0" collapsed="false">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ustomFormat="false" ht="15.75" hidden="false" customHeight="false" outlineLevel="0" collapsed="false">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ustomFormat="false" ht="15.75" hidden="false" customHeight="false" outlineLevel="0" collapsed="false">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ustomFormat="false" ht="15.75" hidden="false" customHeight="false" outlineLevel="0" collapsed="false">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ustomFormat="false" ht="15.75" hidden="false" customHeight="false" outlineLevel="0" collapsed="false">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ustomFormat="false" ht="15.75" hidden="false" customHeight="false" outlineLevel="0" collapsed="false">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ustomFormat="false" ht="15.75" hidden="false" customHeight="false" outlineLevel="0" collapsed="false">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ustomFormat="false" ht="15.75" hidden="false" customHeight="false" outlineLevel="0" collapsed="false">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ustomFormat="false" ht="15.75" hidden="false" customHeight="false" outlineLevel="0" collapsed="false">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ustomFormat="false" ht="15.75" hidden="false" customHeight="false" outlineLevel="0" collapsed="false">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ustomFormat="false" ht="15.75" hidden="false" customHeight="false" outlineLevel="0" collapsed="false">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ustomFormat="false" ht="15.75" hidden="false" customHeight="false" outlineLevel="0" collapsed="false">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ustomFormat="false" ht="15.75" hidden="false" customHeight="false" outlineLevel="0" collapsed="false">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ustomFormat="false" ht="15.75" hidden="false" customHeight="false" outlineLevel="0" collapsed="false">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ustomFormat="false" ht="15.75" hidden="false" customHeight="false" outlineLevel="0" collapsed="false">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ustomFormat="false" ht="15.75" hidden="false" customHeight="false" outlineLevel="0" collapsed="false">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ustomFormat="false" ht="15.75" hidden="false" customHeight="false" outlineLevel="0" collapsed="false">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ustomFormat="false" ht="15.75" hidden="false" customHeight="false" outlineLevel="0" collapsed="false">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ustomFormat="false" ht="15.75" hidden="false" customHeight="false" outlineLevel="0" collapsed="false">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ustomFormat="false" ht="15.75" hidden="false" customHeight="false" outlineLevel="0" collapsed="false">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ustomFormat="false" ht="15.75" hidden="false" customHeight="false" outlineLevel="0" collapsed="false">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ustomFormat="false" ht="15.75" hidden="false" customHeight="false" outlineLevel="0" collapsed="false">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ustomFormat="false" ht="15.75" hidden="false" customHeight="false" outlineLevel="0" collapsed="false">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ustomFormat="false" ht="15.75" hidden="false" customHeight="false" outlineLevel="0" collapsed="false">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ustomFormat="false" ht="15.75" hidden="false" customHeight="false" outlineLevel="0" collapsed="false">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ustomFormat="false" ht="15.75" hidden="false" customHeight="false" outlineLevel="0" collapsed="false">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ustomFormat="false" ht="15.75" hidden="false" customHeight="false" outlineLevel="0" collapsed="false">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ustomFormat="false" ht="15.75" hidden="false" customHeight="false" outlineLevel="0" collapsed="false">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ustomFormat="false" ht="15.75" hidden="false" customHeight="false" outlineLevel="0" collapsed="false">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ustomFormat="false" ht="15.75" hidden="false" customHeight="false" outlineLevel="0" collapsed="false">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ustomFormat="false" ht="15.75" hidden="false" customHeight="false" outlineLevel="0" collapsed="false">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ustomFormat="false" ht="15.75" hidden="false" customHeight="false" outlineLevel="0" collapsed="false">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ustomFormat="false" ht="15.75" hidden="false" customHeight="false" outlineLevel="0" collapsed="false">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ustomFormat="false" ht="15.75" hidden="false" customHeight="false" outlineLevel="0" collapsed="false">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ustomFormat="false" ht="15.75" hidden="false" customHeight="false" outlineLevel="0" collapsed="false">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ustomFormat="false" ht="15.75" hidden="false" customHeight="false" outlineLevel="0" collapsed="false">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ustomFormat="false" ht="15.75" hidden="false" customHeight="false" outlineLevel="0" collapsed="false">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ustomFormat="false" ht="15.75" hidden="false" customHeight="false" outlineLevel="0" collapsed="false">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ustomFormat="false" ht="15.75" hidden="false" customHeight="false" outlineLevel="0" collapsed="false">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ustomFormat="false" ht="15.75" hidden="false" customHeight="false" outlineLevel="0" collapsed="false">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ustomFormat="false" ht="15.75" hidden="false" customHeight="false" outlineLevel="0" collapsed="false">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ustomFormat="false" ht="15.75" hidden="false" customHeight="false" outlineLevel="0" collapsed="false">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ustomFormat="false" ht="15.75" hidden="false" customHeight="false" outlineLevel="0" collapsed="false">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ustomFormat="false" ht="15.75" hidden="false" customHeight="false" outlineLevel="0" collapsed="false">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ustomFormat="false" ht="15.75" hidden="false" customHeight="false" outlineLevel="0" collapsed="false">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ustomFormat="false" ht="15.75" hidden="false" customHeight="false" outlineLevel="0" collapsed="false">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ustomFormat="false" ht="15.75" hidden="false" customHeight="false" outlineLevel="0" collapsed="false">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ustomFormat="false" ht="15.75" hidden="false" customHeight="false" outlineLevel="0" collapsed="false">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ustomFormat="false" ht="15.75" hidden="false" customHeight="false" outlineLevel="0" collapsed="false">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ustomFormat="false" ht="15.75" hidden="false" customHeight="false" outlineLevel="0" collapsed="false">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ustomFormat="false" ht="15.75" hidden="false" customHeight="false" outlineLevel="0" collapsed="false">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ustomFormat="false" ht="15.75" hidden="false" customHeight="false" outlineLevel="0" collapsed="false">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ustomFormat="false" ht="15.75" hidden="false" customHeight="false" outlineLevel="0" collapsed="false">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ustomFormat="false" ht="15.75" hidden="false" customHeight="false" outlineLevel="0" collapsed="false">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ustomFormat="false" ht="15.75" hidden="false" customHeight="false" outlineLevel="0" collapsed="false">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ustomFormat="false" ht="15.75" hidden="false" customHeight="false" outlineLevel="0" collapsed="false">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ustomFormat="false" ht="15.75" hidden="false" customHeight="false" outlineLevel="0" collapsed="false">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ustomFormat="false" ht="15.75" hidden="false" customHeight="false" outlineLevel="0" collapsed="false">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ustomFormat="false" ht="15.75" hidden="false" customHeight="false" outlineLevel="0" collapsed="false">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ustomFormat="false" ht="15.75" hidden="false" customHeight="false" outlineLevel="0" collapsed="false">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ustomFormat="false" ht="15.75" hidden="false" customHeight="false" outlineLevel="0" collapsed="false">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ustomFormat="false" ht="15.75" hidden="false" customHeight="false" outlineLevel="0" collapsed="false">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ustomFormat="false" ht="15.75" hidden="false" customHeight="false" outlineLevel="0" collapsed="false">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ustomFormat="false" ht="15.75" hidden="false" customHeight="false" outlineLevel="0" collapsed="false">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ustomFormat="false" ht="15.75" hidden="false" customHeight="false" outlineLevel="0" collapsed="false">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ustomFormat="false" ht="15.75" hidden="false" customHeight="false" outlineLevel="0" collapsed="false">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ustomFormat="false" ht="15.75" hidden="false" customHeight="false" outlineLevel="0" collapsed="false">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ustomFormat="false" ht="15.75" hidden="false" customHeight="false" outlineLevel="0" collapsed="false">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ustomFormat="false" ht="15.75" hidden="false" customHeight="false" outlineLevel="0" collapsed="false">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ustomFormat="false" ht="15.75" hidden="false" customHeight="false" outlineLevel="0" collapsed="false">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ustomFormat="false" ht="15.75" hidden="false" customHeight="false" outlineLevel="0" collapsed="false">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ustomFormat="false" ht="15.75" hidden="false" customHeight="false" outlineLevel="0" collapsed="false">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ustomFormat="false" ht="15.75" hidden="false" customHeight="false" outlineLevel="0" collapsed="false">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ustomFormat="false" ht="15.75" hidden="false" customHeight="false" outlineLevel="0" collapsed="false">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ustomFormat="false" ht="15.75" hidden="false" customHeight="false" outlineLevel="0" collapsed="false">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ustomFormat="false" ht="15.75" hidden="false" customHeight="false" outlineLevel="0" collapsed="false">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ustomFormat="false" ht="15.75" hidden="false" customHeight="false" outlineLevel="0" collapsed="false">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ustomFormat="false" ht="15.75" hidden="false" customHeight="false" outlineLevel="0" collapsed="false">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ustomFormat="false" ht="15.75" hidden="false" customHeight="false" outlineLevel="0" collapsed="false">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ustomFormat="false" ht="15.75" hidden="false" customHeight="false" outlineLevel="0" collapsed="false">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ustomFormat="false" ht="15.75" hidden="false" customHeight="false" outlineLevel="0" collapsed="false">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ustomFormat="false" ht="15.75" hidden="false" customHeight="false" outlineLevel="0" collapsed="false">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ustomFormat="false" ht="15.75" hidden="false" customHeight="false" outlineLevel="0" collapsed="false">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ustomFormat="false" ht="15.75" hidden="false" customHeight="false" outlineLevel="0" collapsed="false">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ustomFormat="false" ht="15.75" hidden="false" customHeight="false" outlineLevel="0" collapsed="false">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ustomFormat="false" ht="15.75" hidden="false" customHeight="false" outlineLevel="0" collapsed="false">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ustomFormat="false" ht="15.75" hidden="false" customHeight="false" outlineLevel="0" collapsed="false">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ustomFormat="false" ht="15.75" hidden="false" customHeight="false" outlineLevel="0" collapsed="false">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ustomFormat="false" ht="15.75" hidden="false" customHeight="false" outlineLevel="0" collapsed="false">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ustomFormat="false" ht="15.75" hidden="false" customHeight="false" outlineLevel="0" collapsed="false">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ustomFormat="false" ht="15.75" hidden="false" customHeight="false" outlineLevel="0" collapsed="false">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ustomFormat="false" ht="15.75" hidden="false" customHeight="false" outlineLevel="0" collapsed="false">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ustomFormat="false" ht="15.75" hidden="false" customHeight="false" outlineLevel="0" collapsed="false">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ustomFormat="false" ht="15.75" hidden="false" customHeight="false" outlineLevel="0" collapsed="false">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ustomFormat="false" ht="15.75" hidden="false" customHeight="false" outlineLevel="0" collapsed="false">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ustomFormat="false" ht="15.75" hidden="false" customHeight="false" outlineLevel="0" collapsed="false">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ustomFormat="false" ht="15.75" hidden="false" customHeight="false" outlineLevel="0" collapsed="false">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ustomFormat="false" ht="15.75" hidden="false" customHeight="false" outlineLevel="0" collapsed="false">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ustomFormat="false" ht="15.75" hidden="false" customHeight="false" outlineLevel="0" collapsed="false">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ustomFormat="false" ht="15.75" hidden="false" customHeight="false" outlineLevel="0" collapsed="false">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ustomFormat="false" ht="15.75" hidden="false" customHeight="false" outlineLevel="0" collapsed="false">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ustomFormat="false" ht="15.75" hidden="false" customHeight="false" outlineLevel="0" collapsed="false">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ustomFormat="false" ht="15.75" hidden="false" customHeight="false" outlineLevel="0" collapsed="false">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ustomFormat="false" ht="15.75" hidden="false" customHeight="false" outlineLevel="0" collapsed="false">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ustomFormat="false" ht="15.75" hidden="false" customHeight="false" outlineLevel="0" collapsed="false">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ustomFormat="false" ht="15.75" hidden="false" customHeight="false" outlineLevel="0" collapsed="false">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ustomFormat="false" ht="15.75" hidden="false" customHeight="false" outlineLevel="0" collapsed="false">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ustomFormat="false" ht="15.75" hidden="false" customHeight="false" outlineLevel="0" collapsed="false">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ustomFormat="false" ht="15.75" hidden="false" customHeight="false" outlineLevel="0" collapsed="false">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ustomFormat="false" ht="15.75" hidden="false" customHeight="false" outlineLevel="0" collapsed="false">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ustomFormat="false" ht="15.75" hidden="false" customHeight="false" outlineLevel="0" collapsed="false">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ustomFormat="false" ht="15.75" hidden="false" customHeight="false" outlineLevel="0" collapsed="false">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ustomFormat="false" ht="15.75" hidden="false" customHeight="false" outlineLevel="0" collapsed="false">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ustomFormat="false" ht="15.75" hidden="false" customHeight="false" outlineLevel="0" collapsed="false">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ustomFormat="false" ht="15.75" hidden="false" customHeight="false" outlineLevel="0" collapsed="false">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ustomFormat="false" ht="15.75" hidden="false" customHeight="false" outlineLevel="0" collapsed="false">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ustomFormat="false" ht="15.75" hidden="false" customHeight="false" outlineLevel="0" collapsed="false">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ustomFormat="false" ht="15.75" hidden="false" customHeight="false" outlineLevel="0" collapsed="false">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ustomFormat="false" ht="15.75" hidden="false" customHeight="false" outlineLevel="0" collapsed="false">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ustomFormat="false" ht="15.75" hidden="false" customHeight="false" outlineLevel="0" collapsed="false">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ustomFormat="false" ht="15.75" hidden="false" customHeight="false" outlineLevel="0" collapsed="false">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ustomFormat="false" ht="15.75" hidden="false" customHeight="false" outlineLevel="0" collapsed="false">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ustomFormat="false" ht="15.75" hidden="false" customHeight="false" outlineLevel="0" collapsed="false">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ustomFormat="false" ht="15.75" hidden="false" customHeight="false" outlineLevel="0" collapsed="false">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ustomFormat="false" ht="15.75" hidden="false" customHeight="false" outlineLevel="0" collapsed="false">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ustomFormat="false" ht="15.75" hidden="false" customHeight="false" outlineLevel="0" collapsed="false">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ustomFormat="false" ht="15.75" hidden="false" customHeight="false" outlineLevel="0" collapsed="false">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ustomFormat="false" ht="15.75" hidden="false" customHeight="false" outlineLevel="0" collapsed="false">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ustomFormat="false" ht="15.75" hidden="false" customHeight="false" outlineLevel="0" collapsed="false">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ustomFormat="false" ht="15.75" hidden="false" customHeight="false" outlineLevel="0" collapsed="false">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ustomFormat="false" ht="15.75" hidden="false" customHeight="false" outlineLevel="0" collapsed="false">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ustomFormat="false" ht="15.75" hidden="false" customHeight="false" outlineLevel="0" collapsed="false">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ustomFormat="false" ht="15.75" hidden="false" customHeight="false" outlineLevel="0" collapsed="false">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ustomFormat="false" ht="15.75" hidden="false" customHeight="false" outlineLevel="0" collapsed="false">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ustomFormat="false" ht="15.75" hidden="false" customHeight="false" outlineLevel="0" collapsed="false">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ustomFormat="false" ht="15.75" hidden="false" customHeight="false" outlineLevel="0" collapsed="false">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ustomFormat="false" ht="15.75" hidden="false" customHeight="false" outlineLevel="0" collapsed="false">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ustomFormat="false" ht="15.75" hidden="false" customHeight="false" outlineLevel="0" collapsed="false">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ustomFormat="false" ht="15.75" hidden="false" customHeight="false" outlineLevel="0" collapsed="false">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ustomFormat="false" ht="15.75" hidden="false" customHeight="false" outlineLevel="0" collapsed="false">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ustomFormat="false" ht="15.75" hidden="false" customHeight="false" outlineLevel="0" collapsed="false">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ustomFormat="false" ht="15.75" hidden="false" customHeight="false" outlineLevel="0" collapsed="false">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ustomFormat="false" ht="15.75" hidden="false" customHeight="false" outlineLevel="0" collapsed="false">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ustomFormat="false" ht="15.75" hidden="false" customHeight="false" outlineLevel="0" collapsed="false">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ustomFormat="false" ht="15.75" hidden="false" customHeight="false" outlineLevel="0" collapsed="false">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ustomFormat="false" ht="15.75" hidden="false" customHeight="false" outlineLevel="0" collapsed="false">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ustomFormat="false" ht="15.75" hidden="false" customHeight="false" outlineLevel="0" collapsed="false">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ustomFormat="false" ht="15.75" hidden="false" customHeight="false" outlineLevel="0" collapsed="false">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ustomFormat="false" ht="15.75" hidden="false" customHeight="false" outlineLevel="0" collapsed="false">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ustomFormat="false" ht="15.75" hidden="false" customHeight="false" outlineLevel="0" collapsed="false">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ustomFormat="false" ht="15.75" hidden="false" customHeight="false" outlineLevel="0" collapsed="false">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ustomFormat="false" ht="15.75" hidden="false" customHeight="false" outlineLevel="0" collapsed="false">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ustomFormat="false" ht="15.75" hidden="false" customHeight="false" outlineLevel="0" collapsed="false">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ustomFormat="false" ht="15.75" hidden="false" customHeight="false" outlineLevel="0" collapsed="false">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ustomFormat="false" ht="15.75" hidden="false" customHeight="false" outlineLevel="0" collapsed="false">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ustomFormat="false" ht="15.75" hidden="false" customHeight="false" outlineLevel="0" collapsed="false">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ustomFormat="false" ht="15.75" hidden="false" customHeight="false" outlineLevel="0" collapsed="false">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ustomFormat="false" ht="15.75" hidden="false" customHeight="false" outlineLevel="0" collapsed="false">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ustomFormat="false" ht="15.75" hidden="false" customHeight="false" outlineLevel="0" collapsed="false">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ustomFormat="false" ht="15.75" hidden="false" customHeight="false" outlineLevel="0" collapsed="false">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ustomFormat="false" ht="15.75" hidden="false" customHeight="false" outlineLevel="0" collapsed="false">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ustomFormat="false" ht="15.75" hidden="false" customHeight="false" outlineLevel="0" collapsed="false">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ustomFormat="false" ht="15.75" hidden="false" customHeight="false" outlineLevel="0" collapsed="false">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ustomFormat="false" ht="15.75" hidden="false" customHeight="false" outlineLevel="0" collapsed="false">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ustomFormat="false" ht="15.75" hidden="false" customHeight="false" outlineLevel="0" collapsed="false">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ustomFormat="false" ht="15.75" hidden="false" customHeight="false" outlineLevel="0" collapsed="false">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ustomFormat="false" ht="15.75" hidden="false" customHeight="false" outlineLevel="0" collapsed="false">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ustomFormat="false" ht="15.75" hidden="false" customHeight="false" outlineLevel="0" collapsed="false">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ustomFormat="false" ht="15.75" hidden="false" customHeight="false" outlineLevel="0" collapsed="false">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ustomFormat="false" ht="15.75" hidden="false" customHeight="false" outlineLevel="0" collapsed="false">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ustomFormat="false" ht="15.75" hidden="false" customHeight="false" outlineLevel="0" collapsed="false">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
    <mergeCell ref="A1:A10"/>
    <mergeCell ref="C1:C9"/>
    <mergeCell ref="E1:E9"/>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2" min="2" style="0" width="21.88"/>
    <col collapsed="false" customWidth="true" hidden="false" outlineLevel="0" max="3" min="3" style="0" width="59.63"/>
    <col collapsed="false" customWidth="true" hidden="false" outlineLevel="0" max="4" min="4" style="0" width="52.25"/>
  </cols>
  <sheetData>
    <row r="1" customFormat="false" ht="15.75" hidden="false" customHeight="false" outlineLevel="0" collapsed="false">
      <c r="A1" s="6"/>
      <c r="B1" s="6"/>
      <c r="C1" s="6"/>
      <c r="D1" s="6"/>
      <c r="E1" s="6"/>
      <c r="F1" s="6"/>
      <c r="G1" s="6"/>
      <c r="H1" s="6"/>
      <c r="I1" s="6"/>
      <c r="J1" s="6"/>
      <c r="K1" s="6"/>
      <c r="L1" s="6"/>
      <c r="M1" s="6"/>
      <c r="N1" s="6"/>
      <c r="O1" s="6"/>
      <c r="P1" s="6"/>
      <c r="Q1" s="6"/>
      <c r="R1" s="6"/>
      <c r="S1" s="6"/>
      <c r="T1" s="6"/>
      <c r="U1" s="6"/>
      <c r="V1" s="6"/>
      <c r="W1" s="6"/>
      <c r="X1" s="6"/>
      <c r="Y1" s="6"/>
      <c r="Z1" s="6"/>
    </row>
    <row r="2" customFormat="false" ht="77.6" hidden="false" customHeight="false" outlineLevel="0" collapsed="false">
      <c r="A2" s="6"/>
      <c r="B2" s="10" t="s">
        <v>63</v>
      </c>
      <c r="C2" s="10" t="s">
        <v>64</v>
      </c>
      <c r="D2" s="6"/>
      <c r="E2" s="6"/>
      <c r="F2" s="6"/>
      <c r="G2" s="6"/>
      <c r="H2" s="6"/>
      <c r="I2" s="6"/>
      <c r="J2" s="6"/>
      <c r="K2" s="6"/>
      <c r="L2" s="6"/>
      <c r="M2" s="6"/>
      <c r="N2" s="6"/>
      <c r="O2" s="6"/>
      <c r="P2" s="6"/>
      <c r="Q2" s="6"/>
      <c r="R2" s="6"/>
      <c r="S2" s="6"/>
      <c r="T2" s="6"/>
      <c r="U2" s="6"/>
      <c r="V2" s="6"/>
      <c r="W2" s="6"/>
      <c r="X2" s="6"/>
      <c r="Y2" s="6"/>
      <c r="Z2" s="6"/>
    </row>
    <row r="3" customFormat="false" ht="90.25" hidden="false" customHeight="false" outlineLevel="0" collapsed="false">
      <c r="A3" s="6"/>
      <c r="B3" s="10" t="s">
        <v>65</v>
      </c>
      <c r="C3" s="10" t="s">
        <v>66</v>
      </c>
      <c r="D3" s="10" t="s">
        <v>67</v>
      </c>
      <c r="E3" s="6"/>
      <c r="F3" s="6"/>
      <c r="G3" s="6"/>
      <c r="H3" s="6"/>
      <c r="I3" s="6"/>
      <c r="J3" s="6"/>
      <c r="K3" s="6"/>
      <c r="L3" s="6"/>
      <c r="M3" s="6"/>
      <c r="N3" s="6"/>
      <c r="O3" s="6"/>
      <c r="P3" s="6"/>
      <c r="Q3" s="6"/>
      <c r="R3" s="6"/>
      <c r="S3" s="6"/>
      <c r="T3" s="6"/>
      <c r="U3" s="6"/>
      <c r="V3" s="6"/>
      <c r="W3" s="6"/>
      <c r="X3" s="6"/>
      <c r="Y3" s="6"/>
      <c r="Z3" s="6"/>
    </row>
    <row r="4" customFormat="false" ht="77.6" hidden="false" customHeight="false" outlineLevel="0" collapsed="false">
      <c r="A4" s="6"/>
      <c r="B4" s="10" t="s">
        <v>68</v>
      </c>
      <c r="C4" s="10" t="s">
        <v>69</v>
      </c>
      <c r="D4" s="6"/>
      <c r="E4" s="6"/>
      <c r="F4" s="6"/>
      <c r="G4" s="6"/>
      <c r="H4" s="6"/>
      <c r="I4" s="6"/>
      <c r="J4" s="6"/>
      <c r="K4" s="6"/>
      <c r="L4" s="6"/>
      <c r="M4" s="6"/>
      <c r="N4" s="6"/>
      <c r="O4" s="6"/>
      <c r="P4" s="6"/>
      <c r="Q4" s="6"/>
      <c r="R4" s="6"/>
      <c r="S4" s="6"/>
      <c r="T4" s="6"/>
      <c r="U4" s="6"/>
      <c r="V4" s="6"/>
      <c r="W4" s="6"/>
      <c r="X4" s="6"/>
      <c r="Y4" s="6"/>
      <c r="Z4" s="6"/>
    </row>
    <row r="5" customFormat="false" ht="166.4" hidden="false" customHeight="false" outlineLevel="0" collapsed="false">
      <c r="A5" s="6"/>
      <c r="B5" s="10" t="s">
        <v>70</v>
      </c>
      <c r="C5" s="10" t="s">
        <v>71</v>
      </c>
      <c r="D5" s="6"/>
      <c r="E5" s="6"/>
      <c r="F5" s="6"/>
      <c r="G5" s="6"/>
      <c r="H5" s="6"/>
      <c r="I5" s="6"/>
      <c r="J5" s="6"/>
      <c r="K5" s="6"/>
      <c r="L5" s="6"/>
      <c r="M5" s="6"/>
      <c r="N5" s="6"/>
      <c r="O5" s="6"/>
      <c r="P5" s="6"/>
      <c r="Q5" s="6"/>
      <c r="R5" s="6"/>
      <c r="S5" s="6"/>
      <c r="T5" s="6"/>
      <c r="U5" s="6"/>
      <c r="V5" s="6"/>
      <c r="W5" s="6"/>
      <c r="X5" s="6"/>
      <c r="Y5" s="6"/>
      <c r="Z5" s="6"/>
    </row>
    <row r="6" customFormat="false" ht="191.75" hidden="false" customHeight="false" outlineLevel="0" collapsed="false">
      <c r="A6" s="6"/>
      <c r="B6" s="10" t="s">
        <v>72</v>
      </c>
      <c r="C6" s="10" t="s">
        <v>73</v>
      </c>
      <c r="D6" s="6"/>
      <c r="E6" s="6"/>
      <c r="F6" s="6"/>
      <c r="G6" s="6"/>
      <c r="H6" s="6"/>
      <c r="I6" s="6"/>
      <c r="J6" s="6"/>
      <c r="K6" s="6"/>
      <c r="L6" s="6"/>
      <c r="M6" s="6"/>
      <c r="N6" s="6"/>
      <c r="O6" s="6"/>
      <c r="P6" s="6"/>
      <c r="Q6" s="6"/>
      <c r="R6" s="6"/>
      <c r="S6" s="6"/>
      <c r="T6" s="6"/>
      <c r="U6" s="6"/>
      <c r="V6" s="6"/>
      <c r="W6" s="6"/>
      <c r="X6" s="6"/>
      <c r="Y6" s="6"/>
      <c r="Z6" s="6"/>
    </row>
    <row r="7" customFormat="false" ht="15.75" hidden="false" customHeight="false" outlineLevel="0" collapsed="false">
      <c r="A7" s="11" t="s">
        <v>74</v>
      </c>
      <c r="B7" s="12"/>
      <c r="C7" s="12"/>
      <c r="D7" s="12"/>
      <c r="E7" s="12"/>
      <c r="F7" s="12"/>
      <c r="G7" s="12"/>
      <c r="H7" s="12"/>
      <c r="I7" s="12"/>
      <c r="J7" s="12"/>
      <c r="K7" s="12"/>
      <c r="L7" s="12"/>
      <c r="M7" s="12"/>
      <c r="N7" s="12"/>
      <c r="O7" s="12"/>
      <c r="P7" s="12"/>
      <c r="Q7" s="12"/>
      <c r="R7" s="12"/>
      <c r="S7" s="12"/>
      <c r="T7" s="12"/>
      <c r="U7" s="12"/>
      <c r="V7" s="12"/>
      <c r="W7" s="12"/>
      <c r="X7" s="12"/>
      <c r="Y7" s="12"/>
      <c r="Z7" s="12"/>
    </row>
    <row r="8" customFormat="false" ht="26.85" hidden="false" customHeight="false" outlineLevel="0" collapsed="false">
      <c r="A8" s="6"/>
      <c r="B8" s="10" t="s">
        <v>75</v>
      </c>
      <c r="C8" s="10" t="s">
        <v>76</v>
      </c>
      <c r="D8" s="10" t="str">
        <f aca="false">IFERROR(__xludf.dummyfunction("GOOGLETRANSLATE(C8, ""en"", ""vi"")"),"Mainnet, OP, Base, Arbitrum (+ testnet OP/Base Sepolia) ")</f>
        <v>Mainnet, OP, Base, Arbitrum (+ testnet OP/Base Sepolia) </v>
      </c>
      <c r="E8" s="6"/>
      <c r="F8" s="6"/>
      <c r="G8" s="6"/>
      <c r="H8" s="6"/>
      <c r="I8" s="6"/>
      <c r="J8" s="6"/>
      <c r="K8" s="6"/>
      <c r="L8" s="6"/>
      <c r="M8" s="6"/>
      <c r="N8" s="6"/>
      <c r="O8" s="6"/>
      <c r="P8" s="6"/>
      <c r="Q8" s="6"/>
      <c r="R8" s="6"/>
      <c r="S8" s="6"/>
      <c r="T8" s="6"/>
      <c r="U8" s="6"/>
      <c r="V8" s="6"/>
      <c r="W8" s="6"/>
      <c r="X8" s="6"/>
      <c r="Y8" s="6"/>
      <c r="Z8" s="6"/>
    </row>
    <row r="9" customFormat="false" ht="141" hidden="false" customHeight="false" outlineLevel="0" collapsed="false">
      <c r="A9" s="6"/>
      <c r="B9" s="10" t="s">
        <v>77</v>
      </c>
      <c r="C9" s="10" t="s">
        <v>78</v>
      </c>
      <c r="D9" s="10" t="str">
        <f aca="false">IFERROR(__xludf.dummyfunction("GOOGLETRANSLATE(C9, ""en"", ""vi"")"),"Tóm tắt danh mục đầu tư: tổng giá trị, phí thu được, lãi lỗ (tiện ích vị trí = Subgraph, bị lỗi trên mạng thử nghiệm)
Biểu đồ xu hướng thu nhập 15/30/90 ngày (Khu vực biểu đồ lại) — Nhà điều hành ✅
Bảng dữ liệu vị trí với sắp xếp + phân trang (position-da"&amp;"ta-table.tsx) — Subgraph ❌
Lịch sử thu phí 15/trang (useOperatorFeeCollections) — Nhà điều hành ✅
Thanh bên danh mục đầu tư (thống kê chuỗi, thống kê vị trí)")</f>
        <v>Tóm tắt danh mục đầu tư: tổng giá trị, phí thu được, lãi lỗ (tiện ích vị trí = Subgraph, bị lỗi trên mạng thử nghiệm)
Biểu đồ xu hướng thu nhập 15/30/90 ngày (Khu vực biểu đồ lại) — Nhà điều hành ✅
Bảng dữ liệu vị trí với sắp xếp + phân trang (position-data-table.tsx) — Subgraph ❌
Lịch sử thu phí 15/trang (useOperatorFeeCollections) — Nhà điều hành ✅
Thanh bên danh mục đầu tư (thống kê chuỗi, thống kê vị trí)</v>
      </c>
      <c r="E9" s="6"/>
      <c r="F9" s="6"/>
      <c r="G9" s="6"/>
      <c r="H9" s="6"/>
      <c r="I9" s="6"/>
      <c r="J9" s="6"/>
      <c r="K9" s="6"/>
      <c r="L9" s="6"/>
      <c r="M9" s="6"/>
      <c r="N9" s="6"/>
      <c r="O9" s="6"/>
      <c r="P9" s="6"/>
      <c r="Q9" s="6"/>
      <c r="R9" s="6"/>
      <c r="S9" s="6"/>
      <c r="T9" s="6"/>
      <c r="U9" s="6"/>
      <c r="V9" s="6"/>
      <c r="W9" s="6"/>
      <c r="X9" s="6"/>
      <c r="Y9" s="6"/>
      <c r="Z9" s="6"/>
    </row>
    <row r="10" customFormat="false" ht="217.15" hidden="false" customHeight="false" outlineLevel="0" collapsed="false">
      <c r="A10" s="6"/>
      <c r="B10" s="13" t="s">
        <v>79</v>
      </c>
      <c r="C10" s="13" t="s">
        <v>80</v>
      </c>
      <c r="D10" s="13" t="str">
        <f aca="false">IFERROR(__xludf.dummyfunction("GOOGLETRANSLATE(C10, ""en"", ""vi"")"),"Tạo bot với gói Ổn định/Tăng cường (components/bot/bot-page.tsx, hơn 1700 dòng)
Quy trình khởi động bot gồm 8 bước: WETH wrap → phê duyệt → zapMint → đăng ký atomic-start
Dừng bot với vị trí đóng tích hợp (useStopBot)
Theo dõi trạng thái bot (không hoạt đ"&amp;"ộng/đang chạy/lỗi) — useOperatorBotConfig
Thời gian chờ tái cân bằng có thể cấu hình 10-180 phút (migration 0009)
Phiên bản thông số kỹ thuật gói (ảnh chụp nhanh bất biến)
Xác định các vị trí do bot quản lý (useBotManagedPositions)
⚠️ Mức phí pool được mã"&amp;" hóa cứng (POOL_FEE const), không có bộ chọn giao diện người dùng
⚠️ TVL tối thiểu được mã hóa cứng (10 đô la sau khi chỉnh sửa, mặc định 1000 đô la trên mainnet)")</f>
        <v>Tạo bot với gói Ổn định/Tăng cường (components/bot/bot-page.tsx, hơn 1700 dòng)
Quy trình khởi động bot gồm 8 bước: WETH wrap → phê duyệt → zapMint → đăng ký atomic-start
Dừng bot với vị trí đóng tích hợp (useStopBot)
Theo dõi trạng thái bot (không hoạt động/đang chạy/lỗi) — useOperatorBotConfig
Thời gian chờ tái cân bằng có thể cấu hình 10-180 phút (migration 0009)
Phiên bản thông số kỹ thuật gói (ảnh chụp nhanh bất biến)
Xác định các vị trí do bot quản lý (useBotManagedPositions)
⚠️ Mức phí pool được mã hóa cứng (POOL_FEE const), không có bộ chọn giao diện người dùng
⚠️ TVL tối thiểu được mã hóa cứng (10 đô la sau khi chỉnh sửa, mặc định 1000 đô la trên mainnet)</v>
      </c>
      <c r="E10" s="6"/>
      <c r="F10" s="6"/>
      <c r="G10" s="6"/>
      <c r="H10" s="6"/>
      <c r="I10" s="6"/>
      <c r="J10" s="6"/>
      <c r="K10" s="6"/>
      <c r="L10" s="6"/>
      <c r="M10" s="6"/>
      <c r="N10" s="6"/>
      <c r="O10" s="6"/>
      <c r="P10" s="6"/>
      <c r="Q10" s="6"/>
      <c r="R10" s="6"/>
      <c r="S10" s="6"/>
      <c r="T10" s="6"/>
      <c r="U10" s="6"/>
      <c r="V10" s="6"/>
      <c r="W10" s="6"/>
      <c r="X10" s="6"/>
      <c r="Y10" s="6"/>
      <c r="Z10" s="6"/>
    </row>
    <row r="11" customFormat="false" ht="102.95" hidden="false" customHeight="false" outlineLevel="0" collapsed="false">
      <c r="A11" s="6"/>
      <c r="B11" s="10" t="s">
        <v>81</v>
      </c>
      <c r="C11" s="10" t="s">
        <v>82</v>
      </c>
      <c r="D11" s="10" t="str">
        <f aca="false">IFERROR(__xludf.dummyfunction("GOOGLETRANSLATE(C11, ""en"", ""vi"")"),"Danh sách vị thế + lọc theo token, thư viện NFT (components/positions/positions-page.tsx)
Chi tiết vị thế + trực quan hóa thanh phạm vi (position-detail-page.tsx)
Thẻ NFT với siêu dữ liệu nhóm (nft-card.tsx)
Lịch sử vị thế: giao dịch + sự kiện tái cân bằn"&amp;"g (usePositionHistory)
Phí chưa được nhận + lịch sử phí đã nhận")</f>
        <v>Danh sách vị thế + lọc theo token, thư viện NFT (components/positions/positions-page.tsx)
Chi tiết vị thế + trực quan hóa thanh phạm vi (position-detail-page.tsx)
Thẻ NFT với siêu dữ liệu nhóm (nft-card.tsx)
Lịch sử vị thế: giao dịch + sự kiện tái cân bằng (usePositionHistory)
Phí chưa được nhận + lịch sử phí đã nhận</v>
      </c>
      <c r="E11" s="6"/>
      <c r="F11" s="6"/>
      <c r="G11" s="6"/>
      <c r="H11" s="6"/>
      <c r="I11" s="6"/>
      <c r="J11" s="6"/>
      <c r="K11" s="6"/>
      <c r="L11" s="6"/>
      <c r="M11" s="6"/>
      <c r="N11" s="6"/>
      <c r="O11" s="6"/>
      <c r="P11" s="6"/>
      <c r="Q11" s="6"/>
      <c r="R11" s="6"/>
      <c r="S11" s="6"/>
      <c r="T11" s="6"/>
      <c r="U11" s="6"/>
      <c r="V11" s="6"/>
      <c r="W11" s="6"/>
      <c r="X11" s="6"/>
      <c r="Y11" s="6"/>
      <c r="Z11" s="6"/>
    </row>
    <row r="12" customFormat="false" ht="90.25" hidden="false" customHeight="false" outlineLevel="0" collapsed="false">
      <c r="A12" s="6"/>
      <c r="B12" s="10" t="s">
        <v>83</v>
      </c>
      <c r="C12" s="10" t="s">
        <v>84</v>
      </c>
      <c r="D12" s="10" t="str">
        <f aca="false">IFERROR(__xludf.dummyfunction("GOOGLETRANSLATE(C12, ""en"", ""vi"")"),"Thêm bảng điều khiển thanh khoản với tỷ lệ hoán đổi tối ưu (add-liquidity-panel.tsx)
calcOptimalSwapFraction từ công thức toán học của Uniswap V3
Phê duyệt token + quản lý số dư (use-token-balances)
Phân tích sự kiện IncreaseLiquidity
Quản lý thanh khoản "&amp;"thủ công cùng với bot")</f>
        <v>Thêm bảng điều khiển thanh khoản với tỷ lệ hoán đổi tối ưu (add-liquidity-panel.tsx)
calcOptimalSwapFraction từ công thức toán học của Uniswap V3
Phê duyệt token + quản lý số dư (use-token-balances)
Phân tích sự kiện IncreaseLiquidity
Quản lý thanh khoản thủ công cùng với bot</v>
      </c>
      <c r="E12" s="6"/>
      <c r="F12" s="6"/>
      <c r="G12" s="6"/>
      <c r="H12" s="6"/>
      <c r="I12" s="6"/>
      <c r="J12" s="6"/>
      <c r="K12" s="6"/>
      <c r="L12" s="6"/>
      <c r="M12" s="6"/>
      <c r="N12" s="6"/>
      <c r="O12" s="6"/>
      <c r="P12" s="6"/>
      <c r="Q12" s="6"/>
      <c r="R12" s="6"/>
      <c r="S12" s="6"/>
      <c r="T12" s="6"/>
      <c r="U12" s="6"/>
      <c r="V12" s="6"/>
      <c r="W12" s="6"/>
      <c r="X12" s="6"/>
      <c r="Y12" s="6"/>
      <c r="Z12" s="6"/>
    </row>
    <row r="13" customFormat="false" ht="90.25" hidden="false" customHeight="false" outlineLevel="0" collapsed="false">
      <c r="A13" s="6"/>
      <c r="B13" s="10" t="s">
        <v>85</v>
      </c>
      <c r="C13" s="10" t="s">
        <v>86</v>
      </c>
      <c r="D13" s="10" t="str">
        <f aca="false">IFERROR(__xludf.dummyfunction("GOOGLETRANSLATE(C13, ""en"", ""vi"")"),"Bảng phí yêu cầu (claim-fees-panel.tsx)
Theo yêu cầu + theo lịch trình (lựa chọn giờ UTC)
Chuyển đổi phí: giữ nguyên cặp hoặc chuyển đổi sang USDC
Theo dõi thác phí: collectFee 0.5%, PF 30%, swapFee 0.3%
Mô phỏng phí bộ định tuyến trước khi thực thi")</f>
        <v>Bảng phí yêu cầu (claim-fees-panel.tsx)
Theo yêu cầu + theo lịch trình (lựa chọn giờ UTC)
Chuyển đổi phí: giữ nguyên cặp hoặc chuyển đổi sang USDC
Theo dõi thác phí: collectFee 0.5%, PF 30%, swapFee 0.3%
Mô phỏng phí bộ định tuyến trước khi thực thi</v>
      </c>
      <c r="E13" s="6"/>
      <c r="F13" s="6"/>
      <c r="G13" s="6"/>
      <c r="H13" s="6"/>
      <c r="I13" s="6"/>
      <c r="J13" s="6"/>
      <c r="K13" s="6"/>
      <c r="L13" s="6"/>
      <c r="M13" s="6"/>
      <c r="N13" s="6"/>
      <c r="O13" s="6"/>
      <c r="P13" s="6"/>
      <c r="Q13" s="6"/>
      <c r="R13" s="6"/>
      <c r="S13" s="6"/>
      <c r="T13" s="6"/>
      <c r="U13" s="6"/>
      <c r="V13" s="6"/>
      <c r="W13" s="6"/>
      <c r="X13" s="6"/>
      <c r="Y13" s="6"/>
      <c r="Z13" s="6"/>
    </row>
    <row r="14" customFormat="false" ht="102.95" hidden="false" customHeight="false" outlineLevel="0" collapsed="false">
      <c r="A14" s="6"/>
      <c r="B14" s="13" t="s">
        <v>87</v>
      </c>
      <c r="C14" s="13" t="s">
        <v>88</v>
      </c>
      <c r="D14" s="13" t="str">
        <f aca="false">IFERROR(__xludf.dummyfunction("GOOGLETRANSLATE(C14, ""en"", ""vi"")"),"Bảng điều khiển đóng hỗ trợ cả thao tác thủ công và tự động (close-position-panel.tsx)
Cấu hình trượt giá + lựa chọn hoàn trả token
Tích hợp BNZA Router: closeForSelf + tối ưu hóa phí
Phân chia vốn gốc/phí với thanh phạm vi
Theo dõi mã băm giao dịch + liê"&amp;"n kết trình khám phá
Xử lý lỗi đăng ký vị thế (nghiêm trọng so với có thể thử lại)")</f>
        <v>Bảng điều khiển đóng hỗ trợ cả thao tác thủ công và tự động (close-position-panel.tsx)
Cấu hình trượt giá + lựa chọn hoàn trả token
Tích hợp BNZA Router: closeForSelf + tối ưu hóa phí
Phân chia vốn gốc/phí với thanh phạm vi
Theo dõi mã băm giao dịch + liên kết trình khám phá
Xử lý lỗi đăng ký vị thế (nghiêm trọng so với có thể thử lại)</v>
      </c>
      <c r="E14" s="6"/>
      <c r="F14" s="6"/>
      <c r="G14" s="6"/>
      <c r="H14" s="6"/>
      <c r="I14" s="6"/>
      <c r="J14" s="6"/>
      <c r="K14" s="6"/>
      <c r="L14" s="6"/>
      <c r="M14" s="6"/>
      <c r="N14" s="6"/>
      <c r="O14" s="6"/>
      <c r="P14" s="6"/>
      <c r="Q14" s="6"/>
      <c r="R14" s="6"/>
      <c r="S14" s="6"/>
      <c r="T14" s="6"/>
      <c r="U14" s="6"/>
      <c r="V14" s="6"/>
      <c r="W14" s="6"/>
      <c r="X14" s="6"/>
      <c r="Y14" s="6"/>
      <c r="Z14" s="6"/>
    </row>
    <row r="15" customFormat="false" ht="52.2" hidden="false" customHeight="false" outlineLevel="0" collapsed="false">
      <c r="A15" s="6"/>
      <c r="B15" s="10" t="s">
        <v>89</v>
      </c>
      <c r="C15" s="10" t="s">
        <v>90</v>
      </c>
      <c r="D15" s="10" t="str">
        <f aca="false">IFERROR(__xludf.dummyfunction("GOOGLETRANSLATE(C15, ""en"", ""vi"")"),"Lịch sử tái cân bằng (auto-rebalance-panel.tsx)
Nhật ký thực thi tái cân bằng với mã băm giao dịch
Hiển thị bộ đếm thời gian chờ
Ghi đè kích hoạt tái cân bằng thủ công")</f>
        <v>Lịch sử tái cân bằng (auto-rebalance-panel.tsx)
Nhật ký thực thi tái cân bằng với mã băm giao dịch
Hiển thị bộ đếm thời gian chờ
Ghi đè kích hoạt tái cân bằng thủ công</v>
      </c>
      <c r="E15" s="6"/>
      <c r="F15" s="6"/>
      <c r="G15" s="6"/>
      <c r="H15" s="6"/>
      <c r="I15" s="6"/>
      <c r="J15" s="6"/>
      <c r="K15" s="6"/>
      <c r="L15" s="6"/>
      <c r="M15" s="6"/>
      <c r="N15" s="6"/>
      <c r="O15" s="6"/>
      <c r="P15" s="6"/>
      <c r="Q15" s="6"/>
      <c r="R15" s="6"/>
      <c r="S15" s="6"/>
      <c r="T15" s="6"/>
      <c r="U15" s="6"/>
      <c r="V15" s="6"/>
      <c r="W15" s="6"/>
      <c r="X15" s="6"/>
      <c r="Y15" s="6"/>
      <c r="Z15" s="6"/>
    </row>
    <row r="16" customFormat="false" ht="141" hidden="false" customHeight="false" outlineLevel="0" collapsed="false">
      <c r="A16" s="6"/>
      <c r="B16" s="13" t="s">
        <v>91</v>
      </c>
      <c r="C16" s="13" t="s">
        <v>92</v>
      </c>
      <c r="D16" s="13" t="str">
        <f aca="false">IFERROR(__xludf.dummyfunction("GOOGLETRANSLATE(C16, ""en"", ""vi"")"),"Trình tạo quy tắc với 3 mẫu: bảo vệ ETH, tự động ghép lệnh, cân bằng lại OOR (rule-create-wizard.tsx, hơn 1200 dòng)
Trình tạo điều kiện: nhóm, bậc phí, phạm vi, ngưỡng giá, cảnh báo IL
Các hành động: đóng, yêu cầu, cân bằng lại, tự động ghép lệnh
Cấu hìn"&amp;"h bật/tắt kích hoạt + thời gian chờ (chống spam)
Đồng bộ hóa máy chủ (useOperatorRules) + dự phòng localStorage")</f>
        <v>Trình tạo quy tắc với 3 mẫu: bảo vệ ETH, tự động ghép lệnh, cân bằng lại OOR (rule-create-wizard.tsx, hơn 1200 dòng)
Trình tạo điều kiện: nhóm, bậc phí, phạm vi, ngưỡng giá, cảnh báo IL
Các hành động: đóng, yêu cầu, cân bằng lại, tự động ghép lệnh
Cấu hình bật/tắt kích hoạt + thời gian chờ (chống spam)
Đồng bộ hóa máy chủ (useOperatorRules) + dự phòng localStorage</v>
      </c>
      <c r="E16" s="6"/>
      <c r="F16" s="6"/>
      <c r="G16" s="6"/>
      <c r="H16" s="6"/>
      <c r="I16" s="6"/>
      <c r="J16" s="6"/>
      <c r="K16" s="6"/>
      <c r="L16" s="6"/>
      <c r="M16" s="6"/>
      <c r="N16" s="6"/>
      <c r="O16" s="6"/>
      <c r="P16" s="6"/>
      <c r="Q16" s="6"/>
      <c r="R16" s="6"/>
      <c r="S16" s="6"/>
      <c r="T16" s="6"/>
      <c r="U16" s="6"/>
      <c r="V16" s="6"/>
      <c r="W16" s="6"/>
      <c r="X16" s="6"/>
      <c r="Y16" s="6"/>
      <c r="Z16" s="6"/>
    </row>
    <row r="17" customFormat="false" ht="128.35" hidden="false" customHeight="false" outlineLevel="0" collapsed="false">
      <c r="A17" s="6"/>
      <c r="B17" s="10" t="s">
        <v>93</v>
      </c>
      <c r="C17" s="10" t="s">
        <v>94</v>
      </c>
      <c r="D17" s="10" t="str">
        <f aca="false">IFERROR(__xludf.dummyfunction("GOOGLETRANSLATE(C17, ""en"", ""vi"")"),"Danh sách pool được sắp xếp theo TVL/APR (pools-page.tsx)
Lọc theo chuỗi + loại cặp (tất cả/yêu thích/APR cao/stablecoin)
Pool yêu thích (localStorage) — usePoolFavorites
Bảng chi tiết pool + tính toán APR + lịch sử (usePoolAPRs, usePoolHistory)
Tổng hợp "&amp;"khối lượng chuỗi (useChainVolume)
Tích hợp Subgraph (dữ liệu giả dự phòng) — lib/subgraph.ts")</f>
        <v>Danh sách pool được sắp xếp theo TVL/APR (pools-page.tsx)
Lọc theo chuỗi + loại cặp (tất cả/yêu thích/APR cao/stablecoin)
Pool yêu thích (localStorage) — usePoolFavorites
Bảng chi tiết pool + tính toán APR + lịch sử (usePoolAPRs, usePoolHistory)
Tổng hợp khối lượng chuỗi (useChainVolume)
Tích hợp Subgraph (dữ liệu giả dự phòng) — lib/subgraph.ts</v>
      </c>
      <c r="E17" s="6"/>
      <c r="F17" s="6"/>
      <c r="G17" s="6"/>
      <c r="H17" s="6"/>
      <c r="I17" s="6"/>
      <c r="J17" s="6"/>
      <c r="K17" s="6"/>
      <c r="L17" s="6"/>
      <c r="M17" s="6"/>
      <c r="N17" s="6"/>
      <c r="O17" s="6"/>
      <c r="P17" s="6"/>
      <c r="Q17" s="6"/>
      <c r="R17" s="6"/>
      <c r="S17" s="6"/>
      <c r="T17" s="6"/>
      <c r="U17" s="6"/>
      <c r="V17" s="6"/>
      <c r="W17" s="6"/>
      <c r="X17" s="6"/>
      <c r="Y17" s="6"/>
      <c r="Z17" s="6"/>
    </row>
    <row r="18" customFormat="false" ht="90.25" hidden="false" customHeight="false" outlineLevel="0" collapsed="false">
      <c r="A18" s="6"/>
      <c r="B18" s="10" t="s">
        <v>95</v>
      </c>
      <c r="C18" s="10" t="s">
        <v>96</v>
      </c>
      <c r="D18" s="10" t="str">
        <f aca="false">IFERROR(__xludf.dummyfunction("GOOGLETRANSLATE(C18, ""en"", ""vi"")"),"Phân tích thu nhập hàng ngày/hàng tháng (useEarnings, useMonthlyEarnings)
Máy tính IL + phân tích độ nhạy (lib/il-calculator.ts)
Công cụ đề xuất phòng hộ (calculateHedgeRecommendation)
Các chỉ số ROI (APR được thống nhất thành ROI theo CLAUDE.md)")</f>
        <v>Phân tích thu nhập hàng ngày/hàng tháng (useEarnings, useMonthlyEarnings)
Máy tính IL + phân tích độ nhạy (lib/il-calculator.ts)
Công cụ đề xuất phòng hộ (calculateHedgeRecommendation)
Các chỉ số ROI (APR được thống nhất thành ROI theo CLAUDE.md)</v>
      </c>
      <c r="E18" s="6"/>
      <c r="F18" s="6"/>
      <c r="G18" s="6"/>
      <c r="H18" s="6"/>
      <c r="I18" s="6"/>
      <c r="J18" s="6"/>
      <c r="K18" s="6"/>
      <c r="L18" s="6"/>
      <c r="M18" s="6"/>
      <c r="N18" s="6"/>
      <c r="O18" s="6"/>
      <c r="P18" s="6"/>
      <c r="Q18" s="6"/>
      <c r="R18" s="6"/>
      <c r="S18" s="6"/>
      <c r="T18" s="6"/>
      <c r="U18" s="6"/>
      <c r="V18" s="6"/>
      <c r="W18" s="6"/>
      <c r="X18" s="6"/>
      <c r="Y18" s="6"/>
      <c r="Z18" s="6"/>
    </row>
    <row r="19" customFormat="false" ht="90.25" hidden="false" customHeight="false" outlineLevel="0" collapsed="false">
      <c r="A19" s="6"/>
      <c r="B19" s="13" t="s">
        <v>97</v>
      </c>
      <c r="C19" s="13" t="s">
        <v>98</v>
      </c>
      <c r="D19" s="13" t="str">
        <f aca="false">IFERROR(__xludf.dummyfunction("GOOGLETRANSLATE(C19, ""en"", ""vi"")"),"Đọc vị trí trực tiếp thông qua NonfungiblePositionManager (lib/onchain-position.ts)
Pool slot0() để lấy giá hiện tại (getPoolAddressFromTokens thông qua Factory)
Mô phỏng phí chưa được nhận (collect simulate)
Phân tách RPC phía máy chủ + phía máy khách (A"&amp;"lchemy)")</f>
        <v>Đọc vị trí trực tiếp thông qua NonfungiblePositionManager (lib/onchain-position.ts)
Pool slot0() để lấy giá hiện tại (getPoolAddressFromTokens thông qua Factory)
Mô phỏng phí chưa được nhận (collect simulate)
Phân tách RPC phía máy chủ + phía máy khách (Alchemy)</v>
      </c>
      <c r="E19" s="6"/>
      <c r="F19" s="6"/>
      <c r="G19" s="6"/>
      <c r="H19" s="6"/>
      <c r="I19" s="6"/>
      <c r="J19" s="6"/>
      <c r="K19" s="6"/>
      <c r="L19" s="6"/>
      <c r="M19" s="6"/>
      <c r="N19" s="6"/>
      <c r="O19" s="6"/>
      <c r="P19" s="6"/>
      <c r="Q19" s="6"/>
      <c r="R19" s="6"/>
      <c r="S19" s="6"/>
      <c r="T19" s="6"/>
      <c r="U19" s="6"/>
      <c r="V19" s="6"/>
      <c r="W19" s="6"/>
      <c r="X19" s="6"/>
      <c r="Y19" s="6"/>
      <c r="Z19" s="6"/>
    </row>
    <row r="20" customFormat="false" ht="39.55" hidden="false" customHeight="false" outlineLevel="0" collapsed="false">
      <c r="A20" s="6"/>
      <c r="B20" s="10" t="s">
        <v>99</v>
      </c>
      <c r="C20" s="10" t="s">
        <v>100</v>
      </c>
      <c r="D20" s="10" t="str">
        <f aca="false">IFERROR(__xludf.dummyfunction("GOOGLETRANSLATE(C20, ""en"", ""vi"")"),"5 ngôn ngữ: en/ja/zh/ko/vi
Trang LP đã sửa lỗi tiếng Anh, bảng điều khiển+ có i18n")</f>
        <v>5 ngôn ngữ: en/ja/zh/ko/vi
Trang LP đã sửa lỗi tiếng Anh, bảng điều khiển+ có i18n</v>
      </c>
      <c r="E20" s="6"/>
      <c r="F20" s="6"/>
      <c r="G20" s="6"/>
      <c r="H20" s="6"/>
      <c r="I20" s="6"/>
      <c r="J20" s="6"/>
      <c r="K20" s="6"/>
      <c r="L20" s="6"/>
      <c r="M20" s="6"/>
      <c r="N20" s="6"/>
      <c r="O20" s="6"/>
      <c r="P20" s="6"/>
      <c r="Q20" s="6"/>
      <c r="R20" s="6"/>
      <c r="S20" s="6"/>
      <c r="T20" s="6"/>
      <c r="U20" s="6"/>
      <c r="V20" s="6"/>
      <c r="W20" s="6"/>
      <c r="X20" s="6"/>
      <c r="Y20" s="6"/>
      <c r="Z20" s="6"/>
    </row>
    <row r="21" customFormat="false" ht="26.85" hidden="false" customHeight="false" outlineLevel="0" collapsed="false">
      <c r="A21" s="6"/>
      <c r="B21" s="10" t="s">
        <v>101</v>
      </c>
      <c r="C21" s="10" t="s">
        <v>102</v>
      </c>
      <c r="D21" s="10" t="str">
        <f aca="false">IFERROR(__xludf.dummyfunction("GOOGLETRANSLATE(C21, ""en"", ""vi"")"),"Giao diện quản lý khóa API (settings-page.tsx)
Quản lý quy tắc từ cài đặt")</f>
        <v>Giao diện quản lý khóa API (settings-page.tsx)
Quản lý quy tắc từ cài đặt</v>
      </c>
      <c r="E21" s="6"/>
      <c r="F21" s="6"/>
      <c r="G21" s="6"/>
      <c r="H21" s="6"/>
      <c r="I21" s="6"/>
      <c r="J21" s="6"/>
      <c r="K21" s="6"/>
      <c r="L21" s="6"/>
      <c r="M21" s="6"/>
      <c r="N21" s="6"/>
      <c r="O21" s="6"/>
      <c r="P21" s="6"/>
      <c r="Q21" s="6"/>
      <c r="R21" s="6"/>
      <c r="S21" s="6"/>
      <c r="T21" s="6"/>
      <c r="U21" s="6"/>
      <c r="V21" s="6"/>
      <c r="W21" s="6"/>
      <c r="X21" s="6"/>
      <c r="Y21" s="6"/>
      <c r="Z21" s="6"/>
    </row>
    <row r="22" customFormat="false" ht="15.75" hidden="false" customHeight="false" outlineLevel="0" collapsed="false">
      <c r="A22" s="11" t="s">
        <v>103</v>
      </c>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ustomFormat="false" ht="229.85" hidden="false" customHeight="false" outlineLevel="0" collapsed="false">
      <c r="A23" s="6"/>
      <c r="B23" s="10" t="s">
        <v>104</v>
      </c>
      <c r="C23" s="10" t="s">
        <v>105</v>
      </c>
      <c r="D23" s="10" t="str">
        <f aca="false">IFERROR(__xludf.dummyfunction("GOOGLETRANSLATE(C23, ""en"", ""vi"")"),"Bảng Nhập Lệnh: Thị Trường + Giới Hạn (OrderEntryPanel.jsx)
Số dư thời gian thực, tính toán đòn bẩy, USDC khả dụng, bậc phí maker/taker
Sổ Lệnh L2 từ HL WebSocket (OrderBookPanel.jsx)
Hiển thị chênh lệch giá mua/bán, các hàng có thể nhấp chuột để điền giá"&amp;" giới hạn
Thanh Thông Tin Thị Trường: giá trực tiếp, thay đổi 24h, khối lượng, vốn hóa thị trường (MarketInfoPanel.jsx)
Tiện ích TradingView Lightweight (ChartPanel.jsx) — đa ngôn ngữ en/ja/zh/ko/vi
Bộ Chọn Thị Trường: Hơn 100 mã chứng khoán hoán đổi + 54"&amp;" mã chứng khoán có trọng số tương đối (MarketSelector.jsx)
Tìm kiếm, các tab (tất cả/chứng khoán hoán đổi/trọng số tương đối/xu hướng/yêu thích), điều hướng bằng bàn phím")</f>
        <v>Bảng Nhập Lệnh: Thị Trường + Giới Hạn (OrderEntryPanel.jsx)
Số dư thời gian thực, tính toán đòn bẩy, USDC khả dụng, bậc phí maker/taker
Sổ Lệnh L2 từ HL WebSocket (OrderBookPanel.jsx)
Hiển thị chênh lệch giá mua/bán, các hàng có thể nhấp chuột để điền giá giới hạn
Thanh Thông Tin Thị Trường: giá trực tiếp, thay đổi 24h, khối lượng, vốn hóa thị trường (MarketInfoPanel.jsx)
Tiện ích TradingView Lightweight (ChartPanel.jsx) — đa ngôn ngữ en/ja/zh/ko/vi
Bộ Chọn Thị Trường: Hơn 100 mã chứng khoán hoán đổi + 54 mã chứng khoán có trọng số tương đối (MarketSelector.jsx)
Tìm kiếm, các tab (tất cả/chứng khoán hoán đổi/trọng số tương đối/xu hướng/yêu thích), điều hướng bằng bàn phím</v>
      </c>
      <c r="E23" s="6"/>
      <c r="F23" s="6"/>
      <c r="G23" s="6"/>
      <c r="H23" s="6"/>
      <c r="I23" s="6"/>
      <c r="J23" s="6"/>
      <c r="K23" s="6"/>
      <c r="L23" s="6"/>
      <c r="M23" s="6"/>
      <c r="N23" s="6"/>
      <c r="O23" s="6"/>
      <c r="P23" s="6"/>
      <c r="Q23" s="6"/>
      <c r="R23" s="6"/>
      <c r="S23" s="6"/>
      <c r="T23" s="6"/>
      <c r="U23" s="6"/>
      <c r="V23" s="6"/>
      <c r="W23" s="6"/>
      <c r="X23" s="6"/>
      <c r="Y23" s="6"/>
      <c r="Z23" s="6"/>
    </row>
    <row r="24" customFormat="false" ht="179.1" hidden="false" customHeight="false" outlineLevel="0" collapsed="false">
      <c r="A24" s="6"/>
      <c r="B24" s="10" t="s">
        <v>106</v>
      </c>
      <c r="C24" s="10" t="s">
        <v>107</v>
      </c>
      <c r="D24" s="10" t="str">
        <f aca="false">IFERROR(__xludf.dummyfunction("GOOGLETRANSLATE(C24, ""en"", ""vi"")"),"Thực thi lệnh (services/hyperliquid/orderExecution.js)
Đặt lệnh thị trường/giới hạn thông qua ví đại lý (không có cửa sổ bật lên sau khi thiết lập)
Phí xây dựng tự động 50 bps (BNZA_BUILDER_MVP 0x462F0e7b...)
Hủy các lệnh đang mở theo từng mã chứng khoán "&amp;"(BalancesPanel.jsx)
Đóng vị thế thị trường với bộ đệm trượt giá 3%, có nhận biết phía bên kia
Sổ cái lệnh cục bộ (state/localOrderLedger.js)
Lưu trữ trong bộ nhớ, theo dõi trạng thái (pending_submit/pending_open/partial/filled/cancelled/rejected)
Tạo CLOI"&amp;"D (UUID v4)")</f>
        <v>Thực thi lệnh (services/hyperliquid/orderExecution.js)
Đặt lệnh thị trường/giới hạn thông qua ví đại lý (không có cửa sổ bật lên sau khi thiết lập)
Phí xây dựng tự động 50 bps (BNZA_BUILDER_MVP 0x462F0e7b...)
Hủy các lệnh đang mở theo từng mã chứng khoán (BalancesPanel.jsx)
Đóng vị thế thị trường với bộ đệm trượt giá 3%, có nhận biết phía bên kia
Sổ cái lệnh cục bộ (state/localOrderLedger.js)
Lưu trữ trong bộ nhớ, theo dõi trạng thái (pending_submit/pending_open/partial/filled/cancelled/rejected)
Tạo CLOID (UUID v4)</v>
      </c>
      <c r="E24" s="6"/>
      <c r="F24" s="6"/>
      <c r="G24" s="6"/>
      <c r="H24" s="6"/>
      <c r="I24" s="6"/>
      <c r="J24" s="6"/>
      <c r="K24" s="6"/>
      <c r="L24" s="6"/>
      <c r="M24" s="6"/>
      <c r="N24" s="6"/>
      <c r="O24" s="6"/>
      <c r="P24" s="6"/>
      <c r="Q24" s="6"/>
      <c r="R24" s="6"/>
      <c r="S24" s="6"/>
      <c r="T24" s="6"/>
      <c r="U24" s="6"/>
      <c r="V24" s="6"/>
      <c r="W24" s="6"/>
      <c r="X24" s="6"/>
      <c r="Y24" s="6"/>
      <c r="Z24" s="6"/>
    </row>
    <row r="25" customFormat="false" ht="191.75" hidden="false" customHeight="false" outlineLevel="0" collapsed="false">
      <c r="A25" s="6"/>
      <c r="B25" s="10" t="s">
        <v>108</v>
      </c>
      <c r="C25" s="10" t="s">
        <v>109</v>
      </c>
      <c r="D25" s="10" t="str">
        <f aca="false">IFERROR(__xludf.dummyfunction("GOOGLETRANSLATE(C25, ""en"", ""vi"")"),"Trang: pages/PortfolioPage.jsx với hiệu ứng hoạt hình nền ngôi sao
Số dư: Giá trị tài khoản, USDC có thể rút, tỷ lệ ký quỹ chéo, ký quỹ duy trì
Vị thế: Vị thế đang hoạt động, giá đánh dấu, điểm vào lệnh, khối lượng, lãi/lỗ, ký quỹ đòn bẩy
Giao dịch: Lịch "&amp;"sử thực hiện (thời gian, giá, khối lượng, lãi/lỗ) — phân trang
Lệnh: Lịch sử lệnh với trạng thái, CLOID, thời gian — phân trang
Tiền gửi: Lịch sử thanh toán tiền gửi — phân trang
Tiền nạp: Cập nhật sổ cái trên chuỗi — phân trang
Thẻ tóm tắt: giá trị tài k"&amp;"hoản, lãi/lỗ chưa thực hiện, khối lượng 14 ngày, phí, biểu đồ đường nhỏ
Biểu đồ lãi/lỗ (Vẽ lại biểu đồ) theo thời gian")</f>
        <v>Trang: pages/PortfolioPage.jsx với hiệu ứng hoạt hình nền ngôi sao
Số dư: Giá trị tài khoản, USDC có thể rút, tỷ lệ ký quỹ chéo, ký quỹ duy trì
Vị thế: Vị thế đang hoạt động, giá đánh dấu, điểm vào lệnh, khối lượng, lãi/lỗ, ký quỹ đòn bẩy
Giao dịch: Lịch sử thực hiện (thời gian, giá, khối lượng, lãi/lỗ) — phân trang
Lệnh: Lịch sử lệnh với trạng thái, CLOID, thời gian — phân trang
Tiền gửi: Lịch sử thanh toán tiền gửi — phân trang
Tiền nạp: Cập nhật sổ cái trên chuỗi — phân trang
Thẻ tóm tắt: giá trị tài khoản, lãi/lỗ chưa thực hiện, khối lượng 14 ngày, phí, biểu đồ đường nhỏ
Biểu đồ lãi/lỗ (Vẽ lại biểu đồ) theo thời gian</v>
      </c>
      <c r="E25" s="6"/>
      <c r="F25" s="6"/>
      <c r="G25" s="6"/>
      <c r="H25" s="6"/>
      <c r="I25" s="6"/>
      <c r="J25" s="6"/>
      <c r="K25" s="6"/>
      <c r="L25" s="6"/>
      <c r="M25" s="6"/>
      <c r="N25" s="6"/>
      <c r="O25" s="6"/>
      <c r="P25" s="6"/>
      <c r="Q25" s="6"/>
      <c r="R25" s="6"/>
      <c r="S25" s="6"/>
      <c r="T25" s="6"/>
      <c r="U25" s="6"/>
      <c r="V25" s="6"/>
      <c r="W25" s="6"/>
      <c r="X25" s="6"/>
      <c r="Y25" s="6"/>
      <c r="Z25" s="6"/>
    </row>
    <row r="26" customFormat="false" ht="115.65" hidden="false" customHeight="false" outlineLevel="0" collapsed="false">
      <c r="A26" s="6"/>
      <c r="B26" s="10" t="s">
        <v>110</v>
      </c>
      <c r="C26" s="10" t="s">
        <v>111</v>
      </c>
      <c r="D26" s="10" t="str">
        <f aca="false">IFERROR(__xludf.dummyfunction("GOOGLETRANSLATE(C26, ""en"", ""vi"")"),"Kiểm tra số dư định kỳ 10 giây (bỏ qua khi tab bị ẩn, ngay lập tức khi thay đổi chế độ hiển thị)
Tài khoản hợp nhất: giao dịch giao ngay + vĩnh viễn được hợp nhất (hỗ trợ HIP-3, USDC giao ngay có thể rút được)
Phí người dùng được lưu vào bộ nhớ đệm với th"&amp;"ời gian tồn tại 60 giây (hiển thị cho người tạo/người nhận)
Tỷ lệ ký quỹ chéo + ký quỹ duy trì + đòn bẩy chéo tài khoản")</f>
        <v>Kiểm tra số dư định kỳ 10 giây (bỏ qua khi tab bị ẩn, ngay lập tức khi thay đổi chế độ hiển thị)
Tài khoản hợp nhất: giao dịch giao ngay + vĩnh viễn được hợp nhất (hỗ trợ HIP-3, USDC giao ngay có thể rút được)
Phí người dùng được lưu vào bộ nhớ đệm với thời gian tồn tại 60 giây (hiển thị cho người tạo/người nhận)
Tỷ lệ ký quỹ chéo + ký quỹ duy trì + đòn bẩy chéo tài khoản</v>
      </c>
      <c r="E26" s="6"/>
      <c r="F26" s="6"/>
      <c r="G26" s="6"/>
      <c r="H26" s="6"/>
      <c r="I26" s="6"/>
      <c r="J26" s="6"/>
      <c r="K26" s="6"/>
      <c r="L26" s="6"/>
      <c r="M26" s="6"/>
      <c r="N26" s="6"/>
      <c r="O26" s="6"/>
      <c r="P26" s="6"/>
      <c r="Q26" s="6"/>
      <c r="R26" s="6"/>
      <c r="S26" s="6"/>
      <c r="T26" s="6"/>
      <c r="U26" s="6"/>
      <c r="V26" s="6"/>
      <c r="W26" s="6"/>
      <c r="X26" s="6"/>
      <c r="Y26" s="6"/>
      <c r="Z26" s="6"/>
    </row>
    <row r="27" customFormat="false" ht="102.95" hidden="false" customHeight="false" outlineLevel="0" collapsed="false">
      <c r="A27" s="6"/>
      <c r="B27" s="10" t="s">
        <v>112</v>
      </c>
      <c r="C27" s="10" t="s">
        <v>113</v>
      </c>
      <c r="D27" s="10" t="str">
        <f aca="false">IFERROR(__xludf.dummyfunction("GOOGLETRANSLATE(C27, ""en"", ""vi"")"),"Reown AppKit (mạng chính Arbitrum) — config/reown.js
Ví Agent (W1) — services/hyperliquid/hlAgentWallet.js
Chữ ký L1 thường trú trên trình duyệt, không có cửa sổ bật lên MetaMask sau khi phê duyệt ban đầu
Phê duyệt phí người xây dựng — hlBuilderApproval.j"&amp;"s
Chữ ký EIP712, một lần cho mỗi ví
EIP1193 raw eth_signTypedData_v4 — hlEip1193Sign.js")</f>
        <v>Reown AppKit (mạng chính Arbitrum) — config/reown.js
Ví Agent (W1) — services/hyperliquid/hlAgentWallet.js
Chữ ký L1 thường trú trên trình duyệt, không có cửa sổ bật lên MetaMask sau khi phê duyệt ban đầu
Phê duyệt phí người xây dựng — hlBuilderApproval.js
Chữ ký EIP712, một lần cho mỗi ví
EIP1193 raw eth_signTypedData_v4 — hlEip1193Sign.js</v>
      </c>
      <c r="E27" s="6"/>
      <c r="F27" s="6"/>
      <c r="G27" s="6"/>
      <c r="H27" s="6"/>
      <c r="I27" s="6"/>
      <c r="J27" s="6"/>
      <c r="K27" s="6"/>
      <c r="L27" s="6"/>
      <c r="M27" s="6"/>
      <c r="N27" s="6"/>
      <c r="O27" s="6"/>
      <c r="P27" s="6"/>
      <c r="Q27" s="6"/>
      <c r="R27" s="6"/>
      <c r="S27" s="6"/>
      <c r="T27" s="6"/>
      <c r="U27" s="6"/>
      <c r="V27" s="6"/>
      <c r="W27" s="6"/>
      <c r="X27" s="6"/>
      <c r="Y27" s="6"/>
      <c r="Z27" s="6"/>
    </row>
    <row r="28" customFormat="false" ht="166.4" hidden="false" customHeight="false" outlineLevel="0" collapsed="false">
      <c r="A28" s="6"/>
      <c r="B28" s="10" t="s">
        <v>114</v>
      </c>
      <c r="C28" s="10" t="s">
        <v>115</v>
      </c>
      <c r="D28" s="10" t="str">
        <f aca="false">IFERROR(__xludf.dummyfunction("GOOGLETRANSLATE(C28, ""en"", ""vi"")"),"Đăng ký WebSocket (services/hyperliquid/ws.js):
l2Book, activeAssetCtx, giao dịch, userFills, cập nhật lệnh cho mỗi loại tiền điện tử
Tải Sổ đăng ký thị trường khi khởi động ứng dụng (marketRegistry.js)
API HL metaAndAssetCtxs → danh sách perp + RWA động
"&amp;"Chuẩn hóa dữ liệu thị trường (marketData.js) — định dạng giá, chênh lệch giá, giá trung bình
Lịch sử giao dịch: 150 giao dịch gần đây cho mỗi thị trường (trades.js)
Chuẩn hóa trạng thái trung gian thanh toán (clearinghouse.js)")</f>
        <v>Đăng ký WebSocket (services/hyperliquid/ws.js):
l2Book, activeAssetCtx, giao dịch, userFills, cập nhật lệnh cho mỗi loại tiền điện tử
Tải Sổ đăng ký thị trường khi khởi động ứng dụng (marketRegistry.js)
API HL metaAndAssetCtxs → danh sách perp + RWA động
Chuẩn hóa dữ liệu thị trường (marketData.js) — định dạng giá, chênh lệch giá, giá trung bình
Lịch sử giao dịch: 150 giao dịch gần đây cho mỗi thị trường (trades.js)
Chuẩn hóa trạng thái trung gian thanh toán (clearinghouse.js)</v>
      </c>
      <c r="E28" s="6"/>
      <c r="F28" s="6"/>
      <c r="G28" s="6"/>
      <c r="H28" s="6"/>
      <c r="I28" s="6"/>
      <c r="J28" s="6"/>
      <c r="K28" s="6"/>
      <c r="L28" s="6"/>
      <c r="M28" s="6"/>
      <c r="N28" s="6"/>
      <c r="O28" s="6"/>
      <c r="P28" s="6"/>
      <c r="Q28" s="6"/>
      <c r="R28" s="6"/>
      <c r="S28" s="6"/>
      <c r="T28" s="6"/>
      <c r="U28" s="6"/>
      <c r="V28" s="6"/>
      <c r="W28" s="6"/>
      <c r="X28" s="6"/>
      <c r="Y28" s="6"/>
      <c r="Z28" s="6"/>
    </row>
    <row r="29" customFormat="false" ht="90.25" hidden="false" customHeight="false" outlineLevel="0" collapsed="false">
      <c r="A29" s="6"/>
      <c r="B29" s="10" t="s">
        <v>116</v>
      </c>
      <c r="C29" s="10" t="s">
        <v>117</v>
      </c>
      <c r="D29" s="10" t="str">
        <f aca="false">IFERROR(__xludf.dummyfunction("GOOGLETRANSLATE(C29, ""en"", ""vi"")"),"Lịch sử danh mục đầu tư (portfolioHistory.js) — ảnh chụp nhanh 30 giây
Người dùng nạp tiền (userFills.js)
Người dùng cấp vốn (userFunding.js) — bộ nhớ đệm 60 giây
Sổ cái người dùng (userLedger.js) — bộ nhớ đệm 60 giây (gửi/rút tiền)")</f>
        <v>Lịch sử danh mục đầu tư (portfolioHistory.js) — ảnh chụp nhanh 30 giây
Người dùng nạp tiền (userFills.js)
Người dùng cấp vốn (userFunding.js) — bộ nhớ đệm 60 giây
Sổ cái người dùng (userLedger.js) — bộ nhớ đệm 60 giây (gửi/rút tiền)</v>
      </c>
      <c r="E29" s="6"/>
      <c r="F29" s="6"/>
      <c r="G29" s="6"/>
      <c r="H29" s="6"/>
      <c r="I29" s="6"/>
      <c r="J29" s="6"/>
      <c r="K29" s="6"/>
      <c r="L29" s="6"/>
      <c r="M29" s="6"/>
      <c r="N29" s="6"/>
      <c r="O29" s="6"/>
      <c r="P29" s="6"/>
      <c r="Q29" s="6"/>
      <c r="R29" s="6"/>
      <c r="S29" s="6"/>
      <c r="T29" s="6"/>
      <c r="U29" s="6"/>
      <c r="V29" s="6"/>
      <c r="W29" s="6"/>
      <c r="X29" s="6"/>
      <c r="Y29" s="6"/>
      <c r="Z29" s="6"/>
    </row>
    <row r="30" customFormat="false" ht="77.6" hidden="false" customHeight="false" outlineLevel="0" collapsed="false">
      <c r="A30" s="6"/>
      <c r="B30" s="10" t="s">
        <v>118</v>
      </c>
      <c r="C30" s="10" t="s">
        <v>119</v>
      </c>
      <c r="D30" s="10" t="str">
        <f aca="false">IFERROR(__xludf.dummyfunction("GOOGLETRANSLATE(C30, ""en"", ""vi"")"),"Tiêu đề giao dịch với bộ chuyển đổi ngôn ngữ, cài đặt, menu thả xuống ví
Lưới 4 ô (biểu đồ, sổ lệnh, nhập lệnh, số dư) + cửa sổ bật lên danh mục đầu tư
Chuyển đổi chế độ xem: Giao dịch / Bot (Sắp ra mắt) / Danh mục đầu tư")</f>
        <v>Tiêu đề giao dịch với bộ chuyển đổi ngôn ngữ, cài đặt, menu thả xuống ví
Lưới 4 ô (biểu đồ, sổ lệnh, nhập lệnh, số dư) + cửa sổ bật lên danh mục đầu tư
Chuyển đổi chế độ xem: Giao dịch / Bot (Sắp ra mắt) / Danh mục đầu tư</v>
      </c>
      <c r="E30" s="6"/>
      <c r="F30" s="6"/>
      <c r="G30" s="6"/>
      <c r="H30" s="6"/>
      <c r="I30" s="6"/>
      <c r="J30" s="6"/>
      <c r="K30" s="6"/>
      <c r="L30" s="6"/>
      <c r="M30" s="6"/>
      <c r="N30" s="6"/>
      <c r="O30" s="6"/>
      <c r="P30" s="6"/>
      <c r="Q30" s="6"/>
      <c r="R30" s="6"/>
      <c r="S30" s="6"/>
      <c r="T30" s="6"/>
      <c r="U30" s="6"/>
      <c r="V30" s="6"/>
      <c r="W30" s="6"/>
      <c r="X30" s="6"/>
      <c r="Y30" s="6"/>
      <c r="Z30" s="6"/>
    </row>
    <row r="31" customFormat="false" ht="90.25" hidden="false" customHeight="false" outlineLevel="0" collapsed="false">
      <c r="A31" s="6"/>
      <c r="B31" s="10" t="s">
        <v>120</v>
      </c>
      <c r="C31" s="10" t="s">
        <v>121</v>
      </c>
      <c r="D31" s="10" t="str">
        <f aca="false">IFERROR(__xludf.dummyfunction("GOOGLETRANSLATE(C31, ""en"", ""vi"")"),"Hỗ trợ 5 ngôn ngữ i18n (en/ja/zh/ko/vi) — context/LanguageContext.jsx
Ranh giới lỗi (AppErrorBoundary.jsx)
Ghi nhật ký DEV cho các tin nhắn cũ + trạng thái kênh
Sắp ra mắt: BZ_Bot (BotsPlaceholder.jsx)
Lộ trình nâng cấp thư viện biểu đồ TradingView (tradi"&amp;"ngview/chartAdapter.js)")</f>
        <v>Hỗ trợ 5 ngôn ngữ i18n (en/ja/zh/ko/vi) — context/LanguageContext.jsx
Ranh giới lỗi (AppErrorBoundary.jsx)
Ghi nhật ký DEV cho các tin nhắn cũ + trạng thái kênh
Sắp ra mắt: BZ_Bot (BotsPlaceholder.jsx)
Lộ trình nâng cấp thư viện biểu đồ TradingView (tradingview/chartAdapter.js)</v>
      </c>
      <c r="E31" s="6"/>
      <c r="F31" s="6"/>
      <c r="G31" s="6"/>
      <c r="H31" s="6"/>
      <c r="I31" s="6"/>
      <c r="J31" s="6"/>
      <c r="K31" s="6"/>
      <c r="L31" s="6"/>
      <c r="M31" s="6"/>
      <c r="N31" s="6"/>
      <c r="O31" s="6"/>
      <c r="P31" s="6"/>
      <c r="Q31" s="6"/>
      <c r="R31" s="6"/>
      <c r="S31" s="6"/>
      <c r="T31" s="6"/>
      <c r="U31" s="6"/>
      <c r="V31" s="6"/>
      <c r="W31" s="6"/>
      <c r="X31" s="6"/>
      <c r="Y31" s="6"/>
      <c r="Z31" s="6"/>
    </row>
    <row r="32" customFormat="false" ht="15.75" hidden="false" customHeight="false" outlineLevel="0" collapsed="false">
      <c r="A32" s="11" t="s">
        <v>122</v>
      </c>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ustomFormat="false" ht="1867.15" hidden="false" customHeight="false" outlineLevel="0" collapsed="false">
      <c r="A33" s="6"/>
      <c r="B33" s="6"/>
      <c r="C33" s="10" t="s">
        <v>123</v>
      </c>
      <c r="D33" s="10" t="str">
        <f aca="false">IFERROR(__xludf.dummyfunction("GOOGLETRANSLATE(C33, ""en"", ""vi"")"),"Kiến trúc hệ thống: Cloudflare Workers + Hono + TypeScript + D1 + Queues + Durable Objects + KV + R2 Trạng thái: ✅ Sản xuất (Giai đoạn P0-A → P0-E hoàn tất) Đường dẫn: bnza-operator/
Cơ sở hạ tầng cốt lõi
D1 SQLite bnza-operator-db (22 lần di chuyển, hơn"&amp;" 16 bảng)
3 Cloudflare Queues + DLQ: daily-collect, bot-check, rule-check
2 Durable Objects: RelayerLockDO, PoolStateRefreshDO
KV: POOL_STATE_KV
Đa chuỗi: OP (10), Base (8453), Arbitrum (42161) trên mạng chính; OP Sepolia (11155420), Base Sepolia (84532) "&amp;"trên testnet
CORS: pool.bnza.io, ex.bnza.io, ops.bnza.io, localhost (+ dev-*.bnza.sotatek.works sau khi vá lỗi)
Kiểm tra trạng thái: GET /
Xác thực &amp; Kiểm soát truy cập
RBAC: super_admin &gt; admin &gt; viewer
API công khai (không cần xác thực):
GET /api/access"&amp;"/check?wallet= — kiểm tra danh sách trắng trước khi khởi chạy
GET /api/public-config/plan-specs[/:version]
CRUD ví quản trị:
GET/POST/DELETE /api/admin-wallets (không tự xóa)
GET /api/me — vai trò hiện tại + nhãn
Danh sách trắng: GET/POST/DELETE /api/allo"&amp;"wed-addresses
Danh sách đen: GET/POST/DELETE /api/blocked-addresses (lý do: (ofac/abuse/manual)
Cấu hình hệ thống
GET/PUT /api/system-config[/:key]
Các cờ chính: global_bot_enabled, maintenance_mode, access_mode, relayer_min_balance_eth, min_collect_thres"&amp;"hold_usd, MIN_TVL_USD, PARALLEL_READ_LIMIT
Quản lý thông số gói
GET /api/plan-specs/history
POST /api/plan-specs/new-version (super_admin, atomic deactivate-old + create-new)
Schema v4 lồng nhau: {lpBot: {rangeWidth, rebalanceCooldownMinutes}, exBot: null"&amp;", aiPro: null}
API vòng đời Bot
GET /api/bot-configs[/all|/:id] (self hoặc admin)
POST /api/bot-configs/atomic-start — atomic INSERT + xác thực thứ tự token trên chuỗi /api/bot-configs/:id/stop (người dùng)
POST /api/bot-configs/:id/force-stop (quản trị v"&amp;"iên)
GET/POST /api/bot-positions — theo dõi dòng dõi (parent_position_id, lineage_root_id, lineage_started_at)
Tính bất biến: POST trùng lặp trả về position_id hiện có (di chuyển 0012 chỉ mục duy nhất một phần)
POST /api/positions/:tokenId/close-notify — "&amp;"hook đóng thủ công
Tự động hóa Cron
Cứ mỗi 5 phút (*/5 * * * *):
bot-checker:
Giai đoạn A: RPC song song @ 30 đồng thời (giới hạn p)
Giai đoạn B: thực hiện TX nối tiếp thông qua nhóm Multi-Relayer
Kiểm tra phạm vi → cân bằng lại, phí tích lũy → thu thập,"&amp;" thanh khoản=0 → đóng
Bỏ qua nếu tồn tại bot_operation đang chờ xử lý
Kế thừa dòng dõi trên cân bằng lại
kiểm tra quy tắc:
Đánh giá các quy tắc đang hoạt động (is_active=1)
Loại điều kiện: out_of_range, fee_above (có thể mở rộng)
Thực thi: 'notify' (INSER"&amp;"T notifications) hoặc 'auto' (INSERT bot_operations + TX)
Thời gian chờ: last_triggered_at + cooldown_seconds
Dọn dẹp bot mồ côi — hàng giờ (chỉ phút &lt; 5)
Hoàn tác các bot atomic-start chưa hoàn thành
Hàng ngày 00:01 UTC (1 0 * * *):
thu phí hàng ngày:
T"&amp;"hu phí từ tất cả các bot đang chạy
Chống thu phí trùng lặp: kiểm tra last_daily_collect_at so với UTC
Chuyển đổi giao dịch USDC hoặc PAIR
Xử lý hàng đợi (Giai đoạn 2c)
max_batch_size=100, max_batch_timeout=30s, max_concurrency=1, max_retries=3
Thời gian c"&amp;"hờ khác nhau tùy theo hàng đợi:
hàng ngày: 5 phút/30 phút/1 giờ
bot: 1 phút/5 phút/15 phút
quy tắc: 5 phút/15 phút/30 phút
Quản lý Phí &amp; Thưởng
GET /api/fee-collections — lọc theo dịp: daily_auto / rebalance / user_stop / user_collect / manual / manual_cl"&amp;"ose
Bản ghi: user_received_usd, opfee_usd, pf_usd, eth_price_usd, received_currency (USDC/WETH/PAIR)
Trợ giúp Atomic recordFeeCollection() (nguồn đơn)
GET/POST/PUT /api/fee-distributions — người nhận PF (tối đa 10 người hoạt động, chính xác 1 is_remainder"&amp;"=1)
GET /api/daily-snapshots/summary|/latest
Người dùng &amp; Quy tắc
GET/PUT /api/users/me (ngôn ngữ ưu tiên en/ja/zh/ko/vi, thông báo được bật)
GET /api/users/:wallet (ghi đè quản trị)
GET/POST/PUT/DELETE /api/rules — tối đa 5 quy tắc mỗi vị trí, chỉ dành c"&amp;"ho chuỗi 10/8453
GET /api/notifications[/unread-count], PUT /api/notifications/read-all
Quản lý Relay
Nhóm ví HD: cụm từ ghi nhớ BIP39 24 từ → 50 tài khoản phái sinh × 2 chuỗi = 100 ví
Đường dẫn BIP44 m/44'/60'/0'/0/{0-49} (tương thích MetaMask)
Lựa chọn:"&amp;" bot_id % 50 hoặc position_id % 50 (nonce nhất quán)
Dự phòng: một RELAYER_PRIVATE_KEY duy nhất (cũ)
GET /api/relayer-wallets[/alerts] (số dư thấp)
POST/PUT /api/relayer-wallets
Giám sát
GET /api/bot-operations[/all]
Bộ lọc: loại hoạt động, trạng thái, ID"&amp;" chuỗi, tìm kiếm (địa chỉ ví/hash giao dịch)
Phân trang: trang, giới hạn (tối đa 100)
Số liệu 24h: tổng số hoạt động, số lần thành công, tổng chi phí gas
Tích hợp trên chuỗi
LPBOT v1.2 ABI: rebalanceBot, dailyCollectBot
Bộ định tuyến collectForUser
Phân t"&amp;"ích sự kiện: CollectWithFee, Chuyển khoản ERC20, BotRebalanced, DailyCollectExecuted
Trình xác thực siêu dữ liệu Pool (giải quyết Factory động + hiệu chỉnh thứ tự token)
Trượt giá hoán đổi: mặc định 100 bps
Tính toán vị trí: Uniswap V3 Position.fromAmount"&amp;"s để cân bằng lại Định cỡ
Các mẫu kiến ​​trúc
Trình xác thực khởi động nguyên tử
Tính bất biến trên POST trùng lặp
recordFeeCollection() — đường dẫn phí duy nhất
Middleware quyền sở hữu (checkOwnership)
Xác thực tiêu đề X-Wallet-Address
Ưu tiên onchain-tr"&amp;"uth: user_received_usd từ biên lai Sự kiện chuyển khoản")</f>
        <v>Kiến trúc hệ thống: Cloudflare Workers + Hono + TypeScript + D1 + Queues + Durable Objects + KV + R2 Trạng thái: ✅ Sản xuất (Giai đoạn P0-A → P0-E hoàn tất) Đường dẫn: bnza-operator/
Cơ sở hạ tầng cốt lõi
D1 SQLite bnza-operator-db (22 lần di chuyển, hơn 16 bảng)
3 Cloudflare Queues + DLQ: daily-collect, bot-check, rule-check
2 Durable Objects: RelayerLockDO, PoolStateRefreshDO
KV: POOL_STATE_KV
Đa chuỗi: OP (10), Base (8453), Arbitrum (42161) trên mạng chính; OP Sepolia (11155420), Base Sepolia (84532) trên testnet
CORS: pool.bnza.io, ex.bnza.io, ops.bnza.io, localhost (+ dev-*.bnza.sotatek.works sau khi vá lỗi)
Kiểm tra trạng thái: GET /
Xác thực &amp; Kiểm soát truy cập
RBAC: super_admin &gt; admin &gt; viewer
API công khai (không cần xác thực):
GET /api/access/check?wallet= — kiểm tra danh sách trắng trước khi khởi chạy
GET /api/public-config/plan-specs[/:version]
CRUD ví quản trị:
GET/POST/DELETE /api/admin-wallets (không tự xóa)
GET /api/me — vai trò hiện tại + nhãn
Danh sách trắng: GET/POST/DELETE /api/allowed-addresses
Danh sách đen: GET/POST/DELETE /api/blocked-addresses (lý do: (ofac/abuse/manual)
Cấu hình hệ thống
GET/PUT /api/system-config[/:key]
Các cờ chính: global_bot_enabled, maintenance_mode, access_mode, relayer_min_balance_eth, min_collect_threshold_usd, MIN_TVL_USD, PARALLEL_READ_LIMIT
Quản lý thông số gói
GET /api/plan-specs/history
POST /api/plan-specs/new-version (super_admin, atomic deactivate-old + create-new)
Schema v4 lồng nhau: {lpBot: {rangeWidth, rebalanceCooldownMinutes}, exBot: null, aiPro: null}
API vòng đời Bot
GET /api/bot-configs[/all|/:id] (self hoặc admin)
POST /api/bot-configs/atomic-start — atomic INSERT + xác thực thứ tự token trên chuỗi /api/bot-configs/:id/stop (người dùng)
POST /api/bot-configs/:id/force-stop (quản trị viên)
GET/POST /api/bot-positions — theo dõi dòng dõi (parent_position_id, lineage_root_id, lineage_started_at)
Tính bất biến: POST trùng lặp trả về position_id hiện có (di chuyển 0012 chỉ mục duy nhất một phần)
POST /api/positions/:tokenId/close-notify — hook đóng thủ công
Tự động hóa Cron
Cứ mỗi 5 phút (*/5 * * * *):
bot-checker:
Giai đoạn A: RPC song song @ 30 đồng thời (giới hạn p)
Giai đoạn B: thực hiện TX nối tiếp thông qua nhóm Multi-Relayer
Kiểm tra phạm vi → cân bằng lại, phí tích lũy → thu thập, thanh khoản=0 → đóng
Bỏ qua nếu tồn tại bot_operation đang chờ xử lý
Kế thừa dòng dõi trên cân bằng lại
kiểm tra quy tắc:
Đánh giá các quy tắc đang hoạt động (is_active=1)
Loại điều kiện: out_of_range, fee_above (có thể mở rộng)
Thực thi: 'notify' (INSERT notifications) hoặc 'auto' (INSERT bot_operations + TX)
Thời gian chờ: last_triggered_at + cooldown_seconds
Dọn dẹp bot mồ côi — hàng giờ (chỉ phút &lt; 5)
Hoàn tác các bot atomic-start chưa hoàn thành
Hàng ngày 00:01 UTC (1 0 * * *):
thu phí hàng ngày:
Thu phí từ tất cả các bot đang chạy
Chống thu phí trùng lặp: kiểm tra last_daily_collect_at so với UTC
Chuyển đổi giao dịch USDC hoặc PAIR
Xử lý hàng đợi (Giai đoạn 2c)
max_batch_size=100, max_batch_timeout=30s, max_concurrency=1, max_retries=3
Thời gian chờ khác nhau tùy theo hàng đợi:
hàng ngày: 5 phút/30 phút/1 giờ
bot: 1 phút/5 phút/15 phút
quy tắc: 5 phút/15 phút/30 phút
Quản lý Phí &amp; Thưởng
GET /api/fee-collections — lọc theo dịp: daily_auto / rebalance / user_stop / user_collect / manual / manual_close
Bản ghi: user_received_usd, opfee_usd, pf_usd, eth_price_usd, received_currency (USDC/WETH/PAIR)
Trợ giúp Atomic recordFeeCollection() (nguồn đơn)
GET/POST/PUT /api/fee-distributions — người nhận PF (tối đa 10 người hoạt động, chính xác 1 is_remainder=1)
GET /api/daily-snapshots/summary|/latest
Người dùng &amp; Quy tắc
GET/PUT /api/users/me (ngôn ngữ ưu tiên en/ja/zh/ko/vi, thông báo được bật)
GET /api/users/:wallet (ghi đè quản trị)
GET/POST/PUT/DELETE /api/rules — tối đa 5 quy tắc mỗi vị trí, chỉ dành cho chuỗi 10/8453
GET /api/notifications[/unread-count], PUT /api/notifications/read-all
Quản lý Relay
Nhóm ví HD: cụm từ ghi nhớ BIP39 24 từ → 50 tài khoản phái sinh × 2 chuỗi = 100 ví
Đường dẫn BIP44 m/44'/60'/0'/0/{0-49} (tương thích MetaMask)
Lựa chọn: bot_id % 50 hoặc position_id % 50 (nonce nhất quán)
Dự phòng: một RELAYER_PRIVATE_KEY duy nhất (cũ)
GET /api/relayer-wallets[/alerts] (số dư thấp)
POST/PUT /api/relayer-wallets
Giám sát
GET /api/bot-operations[/all]
Bộ lọc: loại hoạt động, trạng thái, ID chuỗi, tìm kiếm (địa chỉ ví/hash giao dịch)
Phân trang: trang, giới hạn (tối đa 100)
Số liệu 24h: tổng số hoạt động, số lần thành công, tổng chi phí gas
Tích hợp trên chuỗi
LPBOT v1.2 ABI: rebalanceBot, dailyCollectBot
Bộ định tuyến collectForUser
Phân tích sự kiện: CollectWithFee, Chuyển khoản ERC20, BotRebalanced, DailyCollectExecuted
Trình xác thực siêu dữ liệu Pool (giải quyết Factory động + hiệu chỉnh thứ tự token)
Trượt giá hoán đổi: mặc định 100 bps
Tính toán vị trí: Uniswap V3 Position.fromAmounts để cân bằng lại Định cỡ
Các mẫu kiến ​​trúc
Trình xác thực khởi động nguyên tử
Tính bất biến trên POST trùng lặp
recordFeeCollection() — đường dẫn phí duy nhất
Middleware quyền sở hữu (checkOwnership)
Xác thực tiêu đề X-Wallet-Address
Ưu tiên onchain-truth: user_received_usd từ biên lai Sự kiện chuyển khoản</v>
      </c>
      <c r="E33" s="6"/>
      <c r="F33" s="6"/>
      <c r="G33" s="6"/>
      <c r="H33" s="6"/>
      <c r="I33" s="6"/>
      <c r="J33" s="6"/>
      <c r="K33" s="6"/>
      <c r="L33" s="6"/>
      <c r="M33" s="6"/>
      <c r="N33" s="6"/>
      <c r="O33" s="6"/>
      <c r="P33" s="6"/>
      <c r="Q33" s="6"/>
      <c r="R33" s="6"/>
      <c r="S33" s="6"/>
      <c r="T33" s="6"/>
      <c r="U33" s="6"/>
      <c r="V33" s="6"/>
      <c r="W33" s="6"/>
      <c r="X33" s="6"/>
      <c r="Y33" s="6"/>
      <c r="Z33" s="6"/>
    </row>
    <row r="34" customFormat="false" ht="15.75" hidden="false" customHeight="false" outlineLevel="0" collapsed="false">
      <c r="A34" s="9" t="s">
        <v>124</v>
      </c>
      <c r="B34" s="6"/>
      <c r="C34" s="6"/>
      <c r="D34" s="6"/>
      <c r="E34" s="6"/>
      <c r="F34" s="6"/>
      <c r="G34" s="6"/>
      <c r="H34" s="6"/>
      <c r="I34" s="6"/>
      <c r="J34" s="6"/>
      <c r="K34" s="6"/>
      <c r="L34" s="6"/>
      <c r="M34" s="6"/>
      <c r="N34" s="6"/>
      <c r="O34" s="6"/>
      <c r="P34" s="6"/>
      <c r="Q34" s="6"/>
      <c r="R34" s="6"/>
      <c r="S34" s="6"/>
      <c r="T34" s="6"/>
      <c r="U34" s="6"/>
      <c r="V34" s="6"/>
      <c r="W34" s="6"/>
      <c r="X34" s="6"/>
      <c r="Y34" s="6"/>
      <c r="Z34" s="6"/>
    </row>
    <row r="35" customFormat="false" ht="673.85" hidden="false" customHeight="false" outlineLevel="0" collapsed="false">
      <c r="A35" s="6"/>
      <c r="B35" s="6"/>
      <c r="C35" s="10" t="s">
        <v>125</v>
      </c>
      <c r="D35" s="10" t="str">
        <f aca="false">IFERROR(__xludf.dummyfunction("GOOGLETRANSLATE(C35, ""en"", ""vi"")"),"Ngăn xếp: Solidity 0.8.20 + Foundry + OpenZeppelin Trạng thái: ✅ Đã triển khai OP + Base (mạng chính); ✅ Đã triển khai OP Sepolia + Base Sepolia (mạng thử nghiệm) Đường dẫn: bnza-lpbot/
Vòng đời của Bot
startBot(StartBotParams) — người dùng mở, gọi Route"&amp;"r.zapMintFor, lưu trữ trạng thái (owner, tokenId, convertToUsdc, autoCompound). Phát ra BotStarted
stopBot(tokenId, ...) — người dùng dừng, gọi Router.closeForUser, xóa trạng thái. Chống tạm dừng. Phát ra BotStopped
rebalanceBot(RebalanceParams) — chỉ ngư"&amp;"ời vận hành, thời gian chờ 15 phút, di chuyển tokenId. Phát ra BotRebalanced
dailyCollectBot(tokenId) — chỉ người vận hành, gọi Router.collectForUser. Phát ra DailyCollectExecuted
Ủy quyền
addAuthorizedOperator(address) / removeAuthorizedOperator(address)"&amp;" — chỉ dành cho chủ sở hữu
pause() / unpause() — chỉ dành cho chủ sở hữu (stopBot vẫn hoạt động)
setMinRebalanceInterval(uint256) — mặc định 900s (15 phút)
transferOwnership(address) — chỉ dành cho chủ sở hữu
Xem các hàm
getBot(tokenId) → cấu trúc Bot đầy"&amp;" đủ
isBot(tokenId), isAuthorizedOperator(addr), isBotOwner(tokenId, addr)
Bộ điều chỉnh
onlyOwner, whenNotPaused, nonReentrant
Sự kiện
BotStarted | BotStopped | BotRebalanced | DailyCollectExecuted | AuthorizedOperatorAdded | AuthorizedOperatorRemoved | P"&amp;"aused | Unpaused | MinRebalanceIntervalUpdated | Đã chuyển quyền sở hữu
Địa chỉ đã triển khai
Mạng chính:
Optimism: 0xeFA6036307bb4A781bdB27e4Cbf314c9386F9572
Cơ sở: 0xAA42Bb3408Af361013352998FB6A046A790DA814
Mạng thử nghiệm:
OP Sepolia: 0x82f113b47bDb"&amp;"C2a8c164345123b78d1DFFa361cF
Base Sepolia: 0x82f113b47bDbC2a8c164345123b78d1DFFa361cF")</f>
        <v>Ngăn xếp: Solidity 0.8.20 + Foundry + OpenZeppelin Trạng thái: ✅ Đã triển khai OP + Base (mạng chính); ✅ Đã triển khai OP Sepolia + Base Sepolia (mạng thử nghiệm) Đường dẫn: bnza-lpbot/
Vòng đời của Bot
startBot(StartBotParams) — người dùng mở, gọi Router.zapMintFor, lưu trữ trạng thái (owner, tokenId, convertToUsdc, autoCompound). Phát ra BotStarted
stopBot(tokenId, ...) — người dùng dừng, gọi Router.closeForUser, xóa trạng thái. Chống tạm dừng. Phát ra BotStopped
rebalanceBot(RebalanceParams) — chỉ người vận hành, thời gian chờ 15 phút, di chuyển tokenId. Phát ra BotRebalanced
dailyCollectBot(tokenId) — chỉ người vận hành, gọi Router.collectForUser. Phát ra DailyCollectExecuted
Ủy quyền
addAuthorizedOperator(address) / removeAuthorizedOperator(address) — chỉ dành cho chủ sở hữu
pause() / unpause() — chỉ dành cho chủ sở hữu (stopBot vẫn hoạt động)
setMinRebalanceInterval(uint256) — mặc định 900s (15 phút)
transferOwnership(address) — chỉ dành cho chủ sở hữu
Xem các hàm
getBot(tokenId) → cấu trúc Bot đầy đủ
isBot(tokenId), isAuthorizedOperator(addr), isBotOwner(tokenId, addr)
Bộ điều chỉnh
onlyOwner, whenNotPaused, nonReentrant
Sự kiện
BotStarted | BotStopped | BotRebalanced | DailyCollectExecuted | AuthorizedOperatorAdded | AuthorizedOperatorRemoved | Paused | Unpaused | MinRebalanceIntervalUpdated | Đã chuyển quyền sở hữu
Địa chỉ đã triển khai
Mạng chính:
Optimism: 0xeFA6036307bb4A781bdB27e4Cbf314c9386F9572
Cơ sở: 0xAA42Bb3408Af361013352998FB6A046A790DA814
Mạng thử nghiệm:
OP Sepolia: 0x82f113b47bDbC2a8c164345123b78d1DFFa361cF
Base Sepolia: 0x82f113b47bDbC2a8c164345123b78d1DFFa361cF</v>
      </c>
      <c r="E35" s="6"/>
      <c r="F35" s="6"/>
      <c r="G35" s="6"/>
      <c r="H35" s="6"/>
      <c r="I35" s="6"/>
      <c r="J35" s="6"/>
      <c r="K35" s="6"/>
      <c r="L35" s="6"/>
      <c r="M35" s="6"/>
      <c r="N35" s="6"/>
      <c r="O35" s="6"/>
      <c r="P35" s="6"/>
      <c r="Q35" s="6"/>
      <c r="R35" s="6"/>
      <c r="S35" s="6"/>
      <c r="T35" s="6"/>
      <c r="U35" s="6"/>
      <c r="V35" s="6"/>
      <c r="W35" s="6"/>
      <c r="X35" s="6"/>
      <c r="Y35" s="6"/>
      <c r="Z35" s="6"/>
    </row>
    <row r="36" customFormat="false" ht="15.75" hidden="false" customHeight="false" outlineLevel="0" collapsed="false">
      <c r="A36" s="9" t="s">
        <v>126</v>
      </c>
      <c r="B36" s="6"/>
      <c r="C36" s="6"/>
      <c r="D36" s="6"/>
      <c r="E36" s="6"/>
      <c r="F36" s="6"/>
      <c r="G36" s="6"/>
      <c r="H36" s="6"/>
      <c r="I36" s="6"/>
      <c r="J36" s="6"/>
      <c r="K36" s="6"/>
      <c r="L36" s="6"/>
      <c r="M36" s="6"/>
      <c r="N36" s="6"/>
      <c r="O36" s="6"/>
      <c r="P36" s="6"/>
      <c r="Q36" s="6"/>
      <c r="R36" s="6"/>
      <c r="S36" s="6"/>
      <c r="T36" s="6"/>
      <c r="U36" s="6"/>
      <c r="V36" s="6"/>
      <c r="W36" s="6"/>
      <c r="X36" s="6"/>
      <c r="Y36" s="6"/>
      <c r="Z36" s="6"/>
    </row>
    <row r="37" customFormat="false" ht="979.1" hidden="false" customHeight="false" outlineLevel="0" collapsed="false">
      <c r="A37" s="6"/>
      <c r="B37" s="6"/>
      <c r="C37" s="10" t="s">
        <v>127</v>
      </c>
      <c r="D37" s="10" t="str">
        <f aca="false">IFERROR(__xludf.dummyfunction("GOOGLETRANSLATE(C37, ""en"", ""vi"")"),"Công nghệ sử dụng: Solidity 0.8.20 + Foundry (bao bọc Uniswap V3 NPM + SwapRouter02) Trạng thái: ✅ Đã triển khai OP + Base (mạng chính); ✅ Đã triển khai OP Sepolia + Base Sepolia (mạng thử nghiệm) Đường dẫn: bnza-router/
Các hàm người dùng
zapMint(...) —"&amp;" tạo vị thế từ một token duy nhất, chấp nhận ETH native qua msg.value, trừ phí swap → treasury. Phát ra ZapMint
zapAddLiquidity(...) — thêm thanh khoản vào vị thế hiện có. Phát ra ZapAddLiquidity
collectForSelf(tokenId, convertToUsdc) — thu phí, tùy chọn "&amp;"swap → USDC, trừ phí thu + PF. Phát ra CollectWithFee
compoundForSelf(tokenId, slippageBps) — thu + tái đầu tư cặp (không swap). Phát ra CompoundWithFee
closeForSelf(tokenId, liquidityToRemove, ...) — rút một phần/toàn bộ (0 = đóng tất cả), vốn gốc dưới d"&amp;"ạng cặp (WETH chuyển đổi thành ETH), chống tạm dừng. Phát ra ClosePosition
Các chức năng của nhà điều hành (Đường dẫn Bot)
zapMintFor(user, ...) — nhà điều hành tạo vị thế cho người dùng (chỉ ERC20). Phát ra ZapMintFor
zapAddLiquidityFor(user, ...) — Phát"&amp;" ra ZapAddLiquidityFor
collectForUser(tokenId, user, convertToUsdc) — Phát ra CollectWithFee
compoundWithFee(tokenId, user, slippageBps) — Phát ra CompoundWithFee
closeForUser(user, tokenId, ...) — chống tạm dừng. Phát ra CloseForUser
rebalanceForBot(user"&amp;", tokenId, ...) — đóng token cũ và token mới nguyên tử, đọc sqrtPrice của pool trên chuỗi, xác thực token0/token1/phí của pool. Phát ra RebalanceForBot + CollectWithFee
Cấu hình phí (Chỉ chủ sở hữu)
Giới hạn mặc định của Setter
setSwapFeeBps 50 (0.5%) 500"&amp;" (5%)
setCollectFeeBps 50 (0.5%) 500
setPfBps (phí hiệu suất) 3000 (30%) 5000 (50%)
setOpFeeBps 50 (0.5%) 500
setMinEarnedForFees 1_000_000 ($1 USDC) —
setRebalanceSlippageBps 500 (5%) 1000 (10%)
Quản trị
addOperator(address) / removeOperator(address)
set"&amp;"Treasury(address), setPfCollector(address)
transferOwnership(address)
pause() / unpause() (vẫn đóng các chức năng) công việc)
Rút tiền khẩn cấp (token, số tiền)
Các yếu tố bổ trợ
onlyOwner, onlyOperator, whenNotPaused, nonReentrant
Sự kiện
ZapMint | ZapAd"&amp;"dLiquidity | CollectWithFee | CompoundWithFee | ClosePosition | ZapMintFor | ZapAddLiquidityFor | CloseForUser | RebalanceForBot | OperatorAdded | OperatorRemoved | Paused | Unpaused | FeesUpdated | OpFeeBpsUpdated | MinEarnedForFeesUpdated | RebalanceSli"&amp;"ppageBpsUpdated | Đã chuyển quyền sở hữu
Địa chỉ đã triển khai
Mạng chính:
Optimism: 0xe4E873DCef553dAb821B03a3caC36B84C5f16B8D
Cơ sở: 0xc70cDE10aE7b7630FBF0778D23A04a84B8f82130
Mạng thử nghiệm:
OP Sepolia: 0x9bc71904ED6C512C2F12e72796cF5185CF6C4E86
Cơ"&amp;" sở Sepolia: 0x9bc71904ED6C512C2F12e72796cF5185CF6C4E86")</f>
        <v>Công nghệ sử dụng: Solidity 0.8.20 + Foundry (bao bọc Uniswap V3 NPM + SwapRouter02) Trạng thái: ✅ Đã triển khai OP + Base (mạng chính); ✅ Đã triển khai OP Sepolia + Base Sepolia (mạng thử nghiệm) Đường dẫn: bnza-router/
Các hàm người dùng
zapMint(...) — tạo vị thế từ một token duy nhất, chấp nhận ETH native qua msg.value, trừ phí swap → treasury. Phát ra ZapMint
zapAddLiquidity(...) — thêm thanh khoản vào vị thế hiện có. Phát ra ZapAddLiquidity
collectForSelf(tokenId, convertToUsdc) — thu phí, tùy chọn swap → USDC, trừ phí thu + PF. Phát ra CollectWithFee
compoundForSelf(tokenId, slippageBps) — thu + tái đầu tư cặp (không swap). Phát ra CompoundWithFee
closeForSelf(tokenId, liquidityToRemove, ...) — rút một phần/toàn bộ (0 = đóng tất cả), vốn gốc dưới dạng cặp (WETH chuyển đổi thành ETH), chống tạm dừng. Phát ra ClosePosition
Các chức năng của nhà điều hành (Đường dẫn Bot)
zapMintFor(user, ...) — nhà điều hành tạo vị thế cho người dùng (chỉ ERC20). Phát ra ZapMintFor
zapAddLiquidityFor(user, ...) — Phát ra ZapAddLiquidityFor
collectForUser(tokenId, user, convertToUsdc) — Phát ra CollectWithFee
compoundWithFee(tokenId, user, slippageBps) — Phát ra CompoundWithFee
closeForUser(user, tokenId, ...) — chống tạm dừng. Phát ra CloseForUser
rebalanceForBot(user, tokenId, ...) — đóng token cũ và token mới nguyên tử, đọc sqrtPrice của pool trên chuỗi, xác thực token0/token1/phí của pool. Phát ra RebalanceForBot + CollectWithFee
Cấu hình phí (Chỉ chủ sở hữu)
Giới hạn mặc định của Setter
setSwapFeeBps 50 (0.5%) 500 (5%)
setCollectFeeBps 50 (0.5%) 500
setPfBps (phí hiệu suất) 3000 (30%) 5000 (50%)
setOpFeeBps 50 (0.5%) 500
setMinEarnedForFees 1_000_000 ($1 USDC) —
setRebalanceSlippageBps 500 (5%) 1000 (10%)
Quản trị
addOperator(address) / removeOperator(address)
setTreasury(address), setPfCollector(address)
transferOwnership(address)
pause() / unpause() (vẫn đóng các chức năng) công việc)
Rút tiền khẩn cấp (token, số tiền)
Các yếu tố bổ trợ
onlyOwner, onlyOperator, whenNotPaused, nonReentrant
Sự kiện
ZapMint | ZapAddLiquidity | CollectWithFee | CompoundWithFee | ClosePosition | ZapMintFor | ZapAddLiquidityFor | CloseForUser | RebalanceForBot | OperatorAdded | OperatorRemoved | Paused | Unpaused | FeesUpdated | OpFeeBpsUpdated | MinEarnedForFeesUpdated | RebalanceSlippageBpsUpdated | Đã chuyển quyền sở hữu
Địa chỉ đã triển khai
Mạng chính:
Optimism: 0xe4E873DCef553dAb821B03a3caC36B84C5f16B8D
Cơ sở: 0xc70cDE10aE7b7630FBF0778D23A04a84B8f82130
Mạng thử nghiệm:
OP Sepolia: 0x9bc71904ED6C512C2F12e72796cF5185CF6C4E86
Cơ sở Sepolia: 0x9bc71904ED6C512C2F12e72796cF5185CF6C4E86</v>
      </c>
      <c r="E37" s="6"/>
      <c r="F37" s="6"/>
      <c r="G37" s="6"/>
      <c r="H37" s="6"/>
      <c r="I37" s="6"/>
      <c r="J37" s="6"/>
      <c r="K37" s="6"/>
      <c r="L37" s="6"/>
      <c r="M37" s="6"/>
      <c r="N37" s="6"/>
      <c r="O37" s="6"/>
      <c r="P37" s="6"/>
      <c r="Q37" s="6"/>
      <c r="R37" s="6"/>
      <c r="S37" s="6"/>
      <c r="T37" s="6"/>
      <c r="U37" s="6"/>
      <c r="V37" s="6"/>
      <c r="W37" s="6"/>
      <c r="X37" s="6"/>
      <c r="Y37" s="6"/>
      <c r="Z37" s="6"/>
    </row>
    <row r="38" customFormat="false" ht="15.75" hidden="false" customHeight="false" outlineLevel="0" collapsed="false">
      <c r="A38" s="9" t="s">
        <v>128</v>
      </c>
      <c r="B38" s="6"/>
      <c r="C38" s="6"/>
      <c r="D38" s="6"/>
      <c r="E38" s="6"/>
      <c r="F38" s="6"/>
      <c r="G38" s="6"/>
      <c r="H38" s="6"/>
      <c r="I38" s="6"/>
      <c r="J38" s="6"/>
      <c r="K38" s="6"/>
      <c r="L38" s="6"/>
      <c r="M38" s="6"/>
      <c r="N38" s="6"/>
      <c r="O38" s="6"/>
      <c r="P38" s="6"/>
      <c r="Q38" s="6"/>
      <c r="R38" s="6"/>
      <c r="S38" s="6"/>
      <c r="T38" s="6"/>
      <c r="U38" s="6"/>
      <c r="V38" s="6"/>
      <c r="W38" s="6"/>
      <c r="X38" s="6"/>
      <c r="Y38" s="6"/>
      <c r="Z38" s="6"/>
    </row>
    <row r="39" customFormat="false" ht="267.9" hidden="false" customHeight="false" outlineLevel="0" collapsed="false">
      <c r="A39" s="6"/>
      <c r="B39" s="6"/>
      <c r="C39" s="10" t="s">
        <v>129</v>
      </c>
      <c r="D39" s="10" t="str">
        <f aca="false">IFERROR(__xludf.dummyfunction("GOOGLETRANSLATE(C39, ""en"", ""vi"")"),"Công nghệ sử dụng: Solidity 0.8.20 + Foundry + OpenZeppelin Trạng thái: ✅ Đã triển khai mạng chính (Mainnet) cơ bản; ✅ Đã triển khai OP Sepolia + Base Sepolia (testnet) Đường dẫn: bnza-contracts/
Thuộc tính
Tên: Bonanza
Ký hiệu: BNZA
Số thập phân: 18
Tổn"&amp;"g cung tối đa: 10.000.000.000
Tính năng: ERC-20Pausable, ERC-20Burnable, AccessControl
Vai trò: DEFAULT_ADMIN_ROLE, MINTER_ROLE, PAUSER_ROLE, BURNER_ROLE
Địa chỉ đã triển khai
Base Mainnet: 0x9B15D9357A1E28372997C4Fdaf07E2e4a637bF92
OP Sepolia: 0xeA99a238"&amp;"d6401Bc9aB866f9AA64959489897ABEC
Base Màu nâu đỏ: 0xeA99a238d6401Bc9aB866f9AA64959489897ABEC")</f>
        <v>Công nghệ sử dụng: Solidity 0.8.20 + Foundry + OpenZeppelin Trạng thái: ✅ Đã triển khai mạng chính (Mainnet) cơ bản; ✅ Đã triển khai OP Sepolia + Base Sepolia (testnet) Đường dẫn: bnza-contracts/
Thuộc tính
Tên: Bonanza
Ký hiệu: BNZA
Số thập phân: 18
Tổng cung tối đa: 10.000.000.000
Tính năng: ERC-20Pausable, ERC-20Burnable, AccessControl
Vai trò: DEFAULT_ADMIN_ROLE, MINTER_ROLE, PAUSER_ROLE, BURNER_ROLE
Địa chỉ đã triển khai
Base Mainnet: 0x9B15D9357A1E28372997C4Fdaf07E2e4a637bF92
OP Sepolia: 0xeA99a238d6401Bc9aB866f9AA64959489897ABEC
Base Màu nâu đỏ: 0xeA99a238d6401Bc9aB866f9AA64959489897ABEC</v>
      </c>
      <c r="E39" s="6"/>
      <c r="F39" s="6"/>
      <c r="G39" s="6"/>
      <c r="H39" s="6"/>
      <c r="I39" s="6"/>
      <c r="J39" s="6"/>
      <c r="K39" s="6"/>
      <c r="L39" s="6"/>
      <c r="M39" s="6"/>
      <c r="N39" s="6"/>
      <c r="O39" s="6"/>
      <c r="P39" s="6"/>
      <c r="Q39" s="6"/>
      <c r="R39" s="6"/>
      <c r="S39" s="6"/>
      <c r="T39" s="6"/>
      <c r="U39" s="6"/>
      <c r="V39" s="6"/>
      <c r="W39" s="6"/>
      <c r="X39" s="6"/>
      <c r="Y39" s="6"/>
      <c r="Z39" s="6"/>
    </row>
    <row r="40" customFormat="false" ht="15.75" hidden="false" customHeight="false" outlineLevel="0" collapsed="false">
      <c r="A40" s="9" t="s">
        <v>130</v>
      </c>
      <c r="B40" s="6"/>
      <c r="C40" s="6"/>
      <c r="D40" s="6"/>
      <c r="E40" s="6"/>
      <c r="F40" s="6"/>
      <c r="G40" s="6"/>
      <c r="H40" s="6"/>
      <c r="I40" s="6"/>
      <c r="J40" s="6"/>
      <c r="K40" s="6"/>
      <c r="L40" s="6"/>
      <c r="M40" s="6"/>
      <c r="N40" s="6"/>
      <c r="O40" s="6"/>
      <c r="P40" s="6"/>
      <c r="Q40" s="6"/>
      <c r="R40" s="6"/>
      <c r="S40" s="6"/>
      <c r="T40" s="6"/>
      <c r="U40" s="6"/>
      <c r="V40" s="6"/>
      <c r="W40" s="6"/>
      <c r="X40" s="6"/>
      <c r="Y40" s="6"/>
      <c r="Z40" s="6"/>
    </row>
    <row r="41" customFormat="false" ht="597.75" hidden="false" customHeight="false" outlineLevel="0" collapsed="false">
      <c r="A41" s="6"/>
      <c r="B41" s="6"/>
      <c r="C41" s="10" t="s">
        <v>131</v>
      </c>
      <c r="D41" s="10" t="str">
        <f aca="false">IFERROR(__xludf.dummyfunction("GOOGLETRANSLATE(C41, ""en"", ""vi"")"),"Công nghệ sử dụng: React 19 + Vite 8 + TypeScript 6 + Tailwind 4 + shadcn/ui + react-router-dom 7 Trạng thái: 🟡 Hoàn thành bước 8-5.7 (6/19 trang là API thật, phần còn lại là giả lập) Đường dẫn: bnza-admin/
Thật (✅) — Đã kết nối với API trực tiếp
Tính n"&amp;"ăng đường dẫn
/ Đăng nhập (Đăng nhập lại + kiểm tra vai trò qua /api/me)
/dashboard (biểu đồ/thống kê vẫn là giả lập, bố cục đã được thiết lập)
/users Danh sách người dùng + số liệu từ /api/users
/bots Danh sách bot + buộc dừng, lọc/sắp xếp/phân trang "&amp;"phía máy khách
/plans CRUD thông số kỹ thuật gói + trình xem khác biệt 3 lược đồ (cũ/phẳng/lồng nhau)
/logs Nhật ký hoạt động của bot + số liệu 24 giờ + 6 tab loại
/access Danh sách trắng + Danh sách đen + Chuyển đổi Chế độ truy cập
Giả lập (🔸) — Giao d"&amp;"iện người dùng đã được thiết lập, chưa được kết nối với API
Tính năng đường dẫn TODO
/dashboard Thống kê + biểu đồ + Các thao tác gần đây Tổng hợp D1 hoặc bộ nhớ đệm KV
/phân phối phí Người nhận PF (thêm/chỉnh sửa/xóa/mô phỏng) Wire /api/fee-distributions"&amp;"
/whitelabel API bảng đối tác WL + bảng D1 wl_partners
/system Biểu mẫu cấu hình hệ thống Wire POST /api/system-config/:key
/relayer API số dư ví Relayer + lấy số dư trên chuỗi
/reports Biểu đồ PF + xuất CSV API tổng hợp
/ib API đối tác IB + bảng D1
/bui"&amp;"lder-fee Tích hợp EX tĩnh
/burn, /supply, /vesting, /treasury Quản lý Token Sau khi ra mắt (Giai đoạn 3+)
Ghi chú kỹ thuật
i18n: Chỉ 2 ngôn ngữ EN + JA (khác với POOL/EX hỗ trợ 5 ngôn ngữ)
Triển khai: Cloudflare Pages (trong kho lưu trữ .vercel/ cũ, bỏ qu"&amp;"a)
Ví: Reown AppKit (cùng ID dự án 097df9ea)")</f>
        <v>Công nghệ sử dụng: React 19 + Vite 8 + TypeScript 6 + Tailwind 4 + shadcn/ui + react-router-dom 7 Trạng thái: 🟡 Hoàn thành bước 8-5.7 (6/19 trang là API thật, phần còn lại là giả lập) Đường dẫn: bnza-admin/
Thật (✅) — Đã kết nối với API trực tiếp
Tính năng đường dẫn
/ Đăng nhập (Đăng nhập lại + kiểm tra vai trò qua /api/me)
/dashboard (biểu đồ/thống kê vẫn là giả lập, bố cục đã được thiết lập)
/users Danh sách người dùng + số liệu từ /api/users
/bots Danh sách bot + buộc dừng, lọc/sắp xếp/phân trang phía máy khách
/plans CRUD thông số kỹ thuật gói + trình xem khác biệt 3 lược đồ (cũ/phẳng/lồng nhau)
/logs Nhật ký hoạt động của bot + số liệu 24 giờ + 6 tab loại
/access Danh sách trắng + Danh sách đen + Chuyển đổi Chế độ truy cập
Giả lập (🔸) — Giao diện người dùng đã được thiết lập, chưa được kết nối với API
Tính năng đường dẫn TODO
/dashboard Thống kê + biểu đồ + Các thao tác gần đây Tổng hợp D1 hoặc bộ nhớ đệm KV
/phân phối phí Người nhận PF (thêm/chỉnh sửa/xóa/mô phỏng) Wire /api/fee-distributions
/whitelabel API bảng đối tác WL + bảng D1 wl_partners
/system Biểu mẫu cấu hình hệ thống Wire POST /api/system-config/:key
/relayer API số dư ví Relayer + lấy số dư trên chuỗi
/reports Biểu đồ PF + xuất CSV API tổng hợp
/ib API đối tác IB + bảng D1
/builder-fee Tích hợp EX tĩnh
/burn, /supply, /vesting, /treasury Quản lý Token Sau khi ra mắt (Giai đoạn 3+)
Ghi chú kỹ thuật
i18n: Chỉ 2 ngôn ngữ EN + JA (khác với POOL/EX hỗ trợ 5 ngôn ngữ)
Triển khai: Cloudflare Pages (trong kho lưu trữ .vercel/ cũ, bỏ qua)
Ví: Reown AppKit (cùng ID dự án 097df9ea)</v>
      </c>
      <c r="E41" s="6"/>
      <c r="F41" s="6"/>
      <c r="G41" s="6"/>
      <c r="H41" s="6"/>
      <c r="I41" s="6"/>
      <c r="J41" s="6"/>
      <c r="K41" s="6"/>
      <c r="L41" s="6"/>
      <c r="M41" s="6"/>
      <c r="N41" s="6"/>
      <c r="O41" s="6"/>
      <c r="P41" s="6"/>
      <c r="Q41" s="6"/>
      <c r="R41" s="6"/>
      <c r="S41" s="6"/>
      <c r="T41" s="6"/>
      <c r="U41" s="6"/>
      <c r="V41" s="6"/>
      <c r="W41" s="6"/>
      <c r="X41" s="6"/>
      <c r="Y41" s="6"/>
      <c r="Z41" s="6"/>
    </row>
    <row r="42" customFormat="false" ht="15.75" hidden="false" customHeight="false" outlineLevel="0" collapsed="false">
      <c r="A42" s="9" t="s">
        <v>132</v>
      </c>
      <c r="B42" s="6"/>
      <c r="C42" s="6"/>
      <c r="D42" s="6"/>
      <c r="E42" s="6"/>
      <c r="F42" s="6"/>
      <c r="G42" s="6"/>
      <c r="H42" s="6"/>
      <c r="I42" s="6"/>
      <c r="J42" s="6"/>
      <c r="K42" s="6"/>
      <c r="L42" s="6"/>
      <c r="M42" s="6"/>
      <c r="N42" s="6"/>
      <c r="O42" s="6"/>
      <c r="P42" s="6"/>
      <c r="Q42" s="6"/>
      <c r="R42" s="6"/>
      <c r="S42" s="6"/>
      <c r="T42" s="6"/>
      <c r="U42" s="6"/>
      <c r="V42" s="6"/>
      <c r="W42" s="6"/>
      <c r="X42" s="6"/>
      <c r="Y42" s="6"/>
      <c r="Z42" s="6"/>
    </row>
    <row r="43" customFormat="false" ht="458.2" hidden="false" customHeight="false" outlineLevel="0" collapsed="false">
      <c r="A43" s="6"/>
      <c r="B43" s="6"/>
      <c r="C43" s="10" t="s">
        <v>133</v>
      </c>
      <c r="D43" s="10" t="str">
        <f aca="false">IFERROR(__xludf.dummyfunction("GOOGLETRANSLATE(C43, ""en"", ""vi"")"),"Kiến trúc hệ thống: CF Workers + D1 + DO + Queue (đã lên kế hoạch) Trạng thái: 📋 SPEC v5.2.5 Phiên bản cuối cùng đã được phê duyệt, Giai đoạn 0 sẵn sàng Đường dẫn: bnza-exbot/docs/SPEC_v5.2.5.md (4.741 dòng, bằng tiếng Nhật)
Nội dung SPEC (các tính năng"&amp;" đã lên kế hoạch)
LP tự động + Hedge: Phí LP Uniswap V3 + Hedge ngắn hạn 70% của Hyperliquid (3x cách ly)
6 hàng đợi: bot-scan, light-check, hedge-sync, reconcile, deep-audit, stop-audit
3 Durable Objects: UserLockDO (dựa trên hợp đồng thuê), HLRateLimitD"&amp;"O, MarketDataDO
Hợp đồng mới: BnzaExVault (lưu trữ NFT LP, KHÔNG sửa đổi BnzaRouter/LpBot hiện có)
Mã hóa Enlope cho khóa tác nhân HL (Cloudflare Secrets Store)
CHẾ ĐỘ AN TOÀN khi xảy ra lỗi API HL / mức ký quỹ quan trọng / kích hoạt dừng bị kẹt
Lược đồ D"&amp;"1: 10 bảng mới (hl_agent_keys, hedge_positions, circuit_breakers, stop_triggers, v.v.)
Lộ trình
Giai đoạn 0 (4-6 tuần): Kiểm thử ngược + PositionAmountCalculator + mạng thử nghiệm HL
Giai đoạn A1 (3-4 tuần): Chạy thử nghiệm cho người dùng đơn lẻ, $0
Giai "&amp;"đoạn A2 (3-4 tuần): Giao dịch thực $1k từ zen
Giai đoạn A3 (4 tuần): Thử nghiệm beta kín 5-10 người dùng WL
Tổng Giai đoạn 0+A: 14-18 tuần
Phân chia quyền sở hữu
zen (riêng tư): PositionAmountCalculator, Toán học Hedge, Chiến lược Stop
SOTATEK: Lược đồ D1"&amp;", Cấu trúc hàng đợi, DO, Cron, Cơ sở hạ tầng HyperliquidAdapter, BnzaExVault, Mã hóa Envelope")</f>
        <v>Kiến trúc hệ thống: CF Workers + D1 + DO + Queue (đã lên kế hoạch) Trạng thái: 📋 SPEC v5.2.5 Phiên bản cuối cùng đã được phê duyệt, Giai đoạn 0 sẵn sàng Đường dẫn: bnza-exbot/docs/SPEC_v5.2.5.md (4.741 dòng, bằng tiếng Nhật)
Nội dung SPEC (các tính năng đã lên kế hoạch)
LP tự động + Hedge: Phí LP Uniswap V3 + Hedge ngắn hạn 70% của Hyperliquid (3x cách ly)
6 hàng đợi: bot-scan, light-check, hedge-sync, reconcile, deep-audit, stop-audit
3 Durable Objects: UserLockDO (dựa trên hợp đồng thuê), HLRateLimitDO, MarketDataDO
Hợp đồng mới: BnzaExVault (lưu trữ NFT LP, KHÔNG sửa đổi BnzaRouter/LpBot hiện có)
Mã hóa Enlope cho khóa tác nhân HL (Cloudflare Secrets Store)
CHẾ ĐỘ AN TOÀN khi xảy ra lỗi API HL / mức ký quỹ quan trọng / kích hoạt dừng bị kẹt
Lược đồ D1: 10 bảng mới (hl_agent_keys, hedge_positions, circuit_breakers, stop_triggers, v.v.)
Lộ trình
Giai đoạn 0 (4-6 tuần): Kiểm thử ngược + PositionAmountCalculator + mạng thử nghiệm HL
Giai đoạn A1 (3-4 tuần): Chạy thử nghiệm cho người dùng đơn lẻ, $0
Giai đoạn A2 (3-4 tuần): Giao dịch thực $1k từ zen
Giai đoạn A3 (4 tuần): Thử nghiệm beta kín 5-10 người dùng WL
Tổng Giai đoạn 0+A: 14-18 tuần
Phân chia quyền sở hữu
zen (riêng tư): PositionAmountCalculator, Toán học Hedge, Chiến lược Stop
SOTATEK: Lược đồ D1, Cấu trúc hàng đợi, DO, Cron, Cơ sở hạ tầng HyperliquidAdapter, BnzaExVault, Mã hóa Envelope</v>
      </c>
      <c r="E43" s="6"/>
      <c r="F43" s="6"/>
      <c r="G43" s="6"/>
      <c r="H43" s="6"/>
      <c r="I43" s="6"/>
      <c r="J43" s="6"/>
      <c r="K43" s="6"/>
      <c r="L43" s="6"/>
      <c r="M43" s="6"/>
      <c r="N43" s="6"/>
      <c r="O43" s="6"/>
      <c r="P43" s="6"/>
      <c r="Q43" s="6"/>
      <c r="R43" s="6"/>
      <c r="S43" s="6"/>
      <c r="T43" s="6"/>
      <c r="U43" s="6"/>
      <c r="V43" s="6"/>
      <c r="W43" s="6"/>
      <c r="X43" s="6"/>
      <c r="Y43" s="6"/>
      <c r="Z43" s="6"/>
    </row>
    <row r="44" customFormat="false" ht="15.75" hidden="false" customHeight="false" outlineLevel="0" collapsed="false">
      <c r="A44" s="9" t="s">
        <v>134</v>
      </c>
      <c r="B44" s="6"/>
      <c r="C44" s="6"/>
      <c r="D44" s="6"/>
      <c r="E44" s="6"/>
      <c r="F44" s="6"/>
      <c r="G44" s="6"/>
      <c r="H44" s="6"/>
      <c r="I44" s="6"/>
      <c r="J44" s="6"/>
      <c r="K44" s="6"/>
      <c r="L44" s="6"/>
      <c r="M44" s="6"/>
      <c r="N44" s="6"/>
      <c r="O44" s="6"/>
      <c r="P44" s="6"/>
      <c r="Q44" s="6"/>
      <c r="R44" s="6"/>
      <c r="S44" s="6"/>
      <c r="T44" s="6"/>
      <c r="U44" s="6"/>
      <c r="V44" s="6"/>
      <c r="W44" s="6"/>
      <c r="X44" s="6"/>
      <c r="Y44" s="6"/>
      <c r="Z44" s="6"/>
    </row>
    <row r="45" customFormat="false" ht="318.65" hidden="false" customHeight="false" outlineLevel="0" collapsed="false">
      <c r="A45" s="6"/>
      <c r="B45" s="6"/>
      <c r="C45" s="10" t="s">
        <v>135</v>
      </c>
      <c r="D45" s="10" t="str">
        <f aca="false">IFERROR(__xludf.dummyfunction("GOOGLETRANSLATE(C45, ""en"", ""vi"")"),"Trạng thái: ❌ Bản mô phỏng cũ đã bị loại bỏ, SOTATEK đang xây dựng lại từ đầu. Tham khảo: bnza-docs/en/modules/mobile/SPEC.md (v0.1, 370 dòng)
Đã lên kế hoạch (theo danh sách nhiệm vụ)
Giao diện PWA với hỗ trợ vùng an toàn (chỉ dành cho thiết bị di động,"&amp;" không hỗ trợ PC)
Sử dụng lại AppKit (cùng ID dự án)
Xác định WL thông qua mã giới thiệu (truy vấn URL / mã QR)
Hiển thị logo WL động (lấy từ wl_partners)
Giao diện người dùng nạp tiền cố định (mỗi WL: $1k/$5k/$10k)
Các quy trình chỉ dành cho EXBOT: bắt đ"&amp;"ầu (kết nối ví → USDC → phê duyệt khóa đại lý HL → ký quỹ CCTP → bắt đầu), dừng, trạng thái
Giao diện người dùng thông báo cảnh báo ký quỹ HL / mức độ nghiêm trọng / CHẾ ĐỘ AN TOÀN
5 ngôn ngữ (tiếng Anh/tiếng Nhật/tiếng Trung/tiếng Ko/tiếng Vi)
Ràng buộc
"&amp;"Thiết bị di động chỉ hỗ trợ EXBOT, KHÔNG hỗ trợ LPBOT hoặc AI Pro
Phiên bản web (POOL) là nơi người dùng chọn loại bot, phiên bản di động không có giao diện lựa chọn.")</f>
        <v>Trạng thái: ❌ Bản mô phỏng cũ đã bị loại bỏ, SOTATEK đang xây dựng lại từ đầu. Tham khảo: bnza-docs/en/modules/mobile/SPEC.md (v0.1, 370 dòng)
Đã lên kế hoạch (theo danh sách nhiệm vụ)
Giao diện PWA với hỗ trợ vùng an toàn (chỉ dành cho thiết bị di động, không hỗ trợ PC)
Sử dụng lại AppKit (cùng ID dự án)
Xác định WL thông qua mã giới thiệu (truy vấn URL / mã QR)
Hiển thị logo WL động (lấy từ wl_partners)
Giao diện người dùng nạp tiền cố định (mỗi WL: $1k/$5k/$10k)
Các quy trình chỉ dành cho EXBOT: bắt đầu (kết nối ví → USDC → phê duyệt khóa đại lý HL → ký quỹ CCTP → bắt đầu), dừng, trạng thái
Giao diện người dùng thông báo cảnh báo ký quỹ HL / mức độ nghiêm trọng / CHẾ ĐỘ AN TOÀN
5 ngôn ngữ (tiếng Anh/tiếng Nhật/tiếng Trung/tiếng Ko/tiếng Vi)
Ràng buộc
Thiết bị di động chỉ hỗ trợ EXBOT, KHÔNG hỗ trợ LPBOT hoặc AI Pro
Phiên bản web (POOL) là nơi người dùng chọn loại bot, phiên bản di động không có giao diện lựa chọn.</v>
      </c>
      <c r="E45" s="6"/>
      <c r="F45" s="6"/>
      <c r="G45" s="6"/>
      <c r="H45" s="6"/>
      <c r="I45" s="6"/>
      <c r="J45" s="6"/>
      <c r="K45" s="6"/>
      <c r="L45" s="6"/>
      <c r="M45" s="6"/>
      <c r="N45" s="6"/>
      <c r="O45" s="6"/>
      <c r="P45" s="6"/>
      <c r="Q45" s="6"/>
      <c r="R45" s="6"/>
      <c r="S45" s="6"/>
      <c r="T45" s="6"/>
      <c r="U45" s="6"/>
      <c r="V45" s="6"/>
      <c r="W45" s="6"/>
      <c r="X45" s="6"/>
      <c r="Y45" s="6"/>
      <c r="Z45" s="6"/>
    </row>
    <row r="46" customFormat="false" ht="15.75" hidden="false" customHeight="false" outlineLevel="0" collapsed="false">
      <c r="A46" s="6"/>
      <c r="B46" s="6"/>
      <c r="C46" s="6"/>
      <c r="D46" s="6"/>
      <c r="E46" s="6"/>
      <c r="F46" s="6"/>
      <c r="G46" s="6"/>
      <c r="H46" s="6"/>
      <c r="I46" s="6"/>
      <c r="J46" s="6"/>
      <c r="K46" s="6"/>
      <c r="L46" s="6"/>
      <c r="M46" s="6"/>
      <c r="N46" s="6"/>
      <c r="O46" s="6"/>
      <c r="P46" s="6"/>
      <c r="Q46" s="6"/>
      <c r="R46" s="6"/>
      <c r="S46" s="6"/>
      <c r="T46" s="6"/>
      <c r="U46" s="6"/>
      <c r="V46" s="6"/>
      <c r="W46" s="6"/>
      <c r="X46" s="6"/>
      <c r="Y46" s="6"/>
      <c r="Z46" s="6"/>
    </row>
    <row r="47" customFormat="false" ht="15.75" hidden="false" customHeight="false" outlineLevel="0" collapsed="false">
      <c r="A47" s="6"/>
      <c r="B47" s="6"/>
      <c r="C47" s="6"/>
      <c r="D47" s="6"/>
      <c r="E47" s="6"/>
      <c r="F47" s="6"/>
      <c r="G47" s="6"/>
      <c r="H47" s="6"/>
      <c r="I47" s="6"/>
      <c r="J47" s="6"/>
      <c r="K47" s="6"/>
      <c r="L47" s="6"/>
      <c r="M47" s="6"/>
      <c r="N47" s="6"/>
      <c r="O47" s="6"/>
      <c r="P47" s="6"/>
      <c r="Q47" s="6"/>
      <c r="R47" s="6"/>
      <c r="S47" s="6"/>
      <c r="T47" s="6"/>
      <c r="U47" s="6"/>
      <c r="V47" s="6"/>
      <c r="W47" s="6"/>
      <c r="X47" s="6"/>
      <c r="Y47" s="6"/>
      <c r="Z47" s="6"/>
    </row>
    <row r="48" customFormat="false" ht="15.75" hidden="false" customHeight="false" outlineLevel="0" collapsed="false">
      <c r="A48" s="6"/>
      <c r="B48" s="6"/>
      <c r="C48" s="6"/>
      <c r="D48" s="6"/>
      <c r="E48" s="6"/>
      <c r="F48" s="6"/>
      <c r="G48" s="6"/>
      <c r="H48" s="6"/>
      <c r="I48" s="6"/>
      <c r="J48" s="6"/>
      <c r="K48" s="6"/>
      <c r="L48" s="6"/>
      <c r="M48" s="6"/>
      <c r="N48" s="6"/>
      <c r="O48" s="6"/>
      <c r="P48" s="6"/>
      <c r="Q48" s="6"/>
      <c r="R48" s="6"/>
      <c r="S48" s="6"/>
      <c r="T48" s="6"/>
      <c r="U48" s="6"/>
      <c r="V48" s="6"/>
      <c r="W48" s="6"/>
      <c r="X48" s="6"/>
      <c r="Y48" s="6"/>
      <c r="Z48" s="6"/>
    </row>
    <row r="49" customFormat="false" ht="15.75" hidden="false" customHeight="false" outlineLevel="0" collapsed="false">
      <c r="A49" s="6"/>
      <c r="B49" s="6"/>
      <c r="C49" s="6"/>
      <c r="D49" s="6"/>
      <c r="E49" s="6"/>
      <c r="F49" s="6"/>
      <c r="G49" s="6"/>
      <c r="H49" s="6"/>
      <c r="I49" s="6"/>
      <c r="J49" s="6"/>
      <c r="K49" s="6"/>
      <c r="L49" s="6"/>
      <c r="M49" s="6"/>
      <c r="N49" s="6"/>
      <c r="O49" s="6"/>
      <c r="P49" s="6"/>
      <c r="Q49" s="6"/>
      <c r="R49" s="6"/>
      <c r="S49" s="6"/>
      <c r="T49" s="6"/>
      <c r="U49" s="6"/>
      <c r="V49" s="6"/>
      <c r="W49" s="6"/>
      <c r="X49" s="6"/>
      <c r="Y49" s="6"/>
      <c r="Z49" s="6"/>
    </row>
    <row r="50" customFormat="false" ht="15.75" hidden="false" customHeight="false" outlineLevel="0" collapsed="false">
      <c r="A50" s="6"/>
      <c r="B50" s="6"/>
      <c r="C50" s="6"/>
      <c r="D50" s="6"/>
      <c r="E50" s="6"/>
      <c r="F50" s="6"/>
      <c r="G50" s="6"/>
      <c r="H50" s="6"/>
      <c r="I50" s="6"/>
      <c r="J50" s="6"/>
      <c r="K50" s="6"/>
      <c r="L50" s="6"/>
      <c r="M50" s="6"/>
      <c r="N50" s="6"/>
      <c r="O50" s="6"/>
      <c r="P50" s="6"/>
      <c r="Q50" s="6"/>
      <c r="R50" s="6"/>
      <c r="S50" s="6"/>
      <c r="T50" s="6"/>
      <c r="U50" s="6"/>
      <c r="V50" s="6"/>
      <c r="W50" s="6"/>
      <c r="X50" s="6"/>
      <c r="Y50" s="6"/>
      <c r="Z50" s="6"/>
    </row>
    <row r="51" customFormat="false" ht="15.75" hidden="false" customHeight="false" outlineLevel="0" collapsed="false">
      <c r="A51" s="6"/>
      <c r="B51" s="6"/>
      <c r="C51" s="6"/>
      <c r="D51" s="6"/>
      <c r="E51" s="6"/>
      <c r="F51" s="6"/>
      <c r="G51" s="6"/>
      <c r="H51" s="6"/>
      <c r="I51" s="6"/>
      <c r="J51" s="6"/>
      <c r="K51" s="6"/>
      <c r="L51" s="6"/>
      <c r="M51" s="6"/>
      <c r="N51" s="6"/>
      <c r="O51" s="6"/>
      <c r="P51" s="6"/>
      <c r="Q51" s="6"/>
      <c r="R51" s="6"/>
      <c r="S51" s="6"/>
      <c r="T51" s="6"/>
      <c r="U51" s="6"/>
      <c r="V51" s="6"/>
      <c r="W51" s="6"/>
      <c r="X51" s="6"/>
      <c r="Y51" s="6"/>
      <c r="Z51" s="6"/>
    </row>
    <row r="52" customFormat="false" ht="15.75" hidden="false" customHeight="false" outlineLevel="0" collapsed="false">
      <c r="A52" s="6"/>
      <c r="B52" s="6"/>
      <c r="C52" s="6"/>
      <c r="D52" s="6"/>
      <c r="E52" s="6"/>
      <c r="F52" s="6"/>
      <c r="G52" s="6"/>
      <c r="H52" s="6"/>
      <c r="I52" s="6"/>
      <c r="J52" s="6"/>
      <c r="K52" s="6"/>
      <c r="L52" s="6"/>
      <c r="M52" s="6"/>
      <c r="N52" s="6"/>
      <c r="O52" s="6"/>
      <c r="P52" s="6"/>
      <c r="Q52" s="6"/>
      <c r="R52" s="6"/>
      <c r="S52" s="6"/>
      <c r="T52" s="6"/>
      <c r="U52" s="6"/>
      <c r="V52" s="6"/>
      <c r="W52" s="6"/>
      <c r="X52" s="6"/>
      <c r="Y52" s="6"/>
      <c r="Z52" s="6"/>
    </row>
    <row r="53" customFormat="false" ht="15.75" hidden="false" customHeight="false" outlineLevel="0" collapsed="false">
      <c r="A53" s="6"/>
      <c r="B53" s="6"/>
      <c r="C53" s="6"/>
      <c r="D53" s="6"/>
      <c r="E53" s="6"/>
      <c r="F53" s="6"/>
      <c r="G53" s="6"/>
      <c r="H53" s="6"/>
      <c r="I53" s="6"/>
      <c r="J53" s="6"/>
      <c r="K53" s="6"/>
      <c r="L53" s="6"/>
      <c r="M53" s="6"/>
      <c r="N53" s="6"/>
      <c r="O53" s="6"/>
      <c r="P53" s="6"/>
      <c r="Q53" s="6"/>
      <c r="R53" s="6"/>
      <c r="S53" s="6"/>
      <c r="T53" s="6"/>
      <c r="U53" s="6"/>
      <c r="V53" s="6"/>
      <c r="W53" s="6"/>
      <c r="X53" s="6"/>
      <c r="Y53" s="6"/>
      <c r="Z53" s="6"/>
    </row>
    <row r="54" customFormat="false" ht="15.75" hidden="false" customHeight="false" outlineLevel="0" collapsed="false">
      <c r="A54" s="6"/>
      <c r="B54" s="6"/>
      <c r="C54" s="6"/>
      <c r="D54" s="6"/>
      <c r="E54" s="6"/>
      <c r="F54" s="6"/>
      <c r="G54" s="6"/>
      <c r="H54" s="6"/>
      <c r="I54" s="6"/>
      <c r="J54" s="6"/>
      <c r="K54" s="6"/>
      <c r="L54" s="6"/>
      <c r="M54" s="6"/>
      <c r="N54" s="6"/>
      <c r="O54" s="6"/>
      <c r="P54" s="6"/>
      <c r="Q54" s="6"/>
      <c r="R54" s="6"/>
      <c r="S54" s="6"/>
      <c r="T54" s="6"/>
      <c r="U54" s="6"/>
      <c r="V54" s="6"/>
      <c r="W54" s="6"/>
      <c r="X54" s="6"/>
      <c r="Y54" s="6"/>
      <c r="Z54" s="6"/>
    </row>
    <row r="55" customFormat="false" ht="15.75" hidden="false" customHeight="false" outlineLevel="0" collapsed="false">
      <c r="A55" s="6"/>
      <c r="B55" s="6"/>
      <c r="C55" s="6"/>
      <c r="D55" s="6"/>
      <c r="E55" s="6"/>
      <c r="F55" s="6"/>
      <c r="G55" s="6"/>
      <c r="H55" s="6"/>
      <c r="I55" s="6"/>
      <c r="J55" s="6"/>
      <c r="K55" s="6"/>
      <c r="L55" s="6"/>
      <c r="M55" s="6"/>
      <c r="N55" s="6"/>
      <c r="O55" s="6"/>
      <c r="P55" s="6"/>
      <c r="Q55" s="6"/>
      <c r="R55" s="6"/>
      <c r="S55" s="6"/>
      <c r="T55" s="6"/>
      <c r="U55" s="6"/>
      <c r="V55" s="6"/>
      <c r="W55" s="6"/>
      <c r="X55" s="6"/>
      <c r="Y55" s="6"/>
      <c r="Z55" s="6"/>
    </row>
    <row r="56" customFormat="false" ht="15.75" hidden="false" customHeight="false" outlineLevel="0" collapsed="false">
      <c r="A56" s="6"/>
      <c r="B56" s="6"/>
      <c r="C56" s="6"/>
      <c r="D56" s="6"/>
      <c r="E56" s="6"/>
      <c r="F56" s="6"/>
      <c r="G56" s="6"/>
      <c r="H56" s="6"/>
      <c r="I56" s="6"/>
      <c r="J56" s="6"/>
      <c r="K56" s="6"/>
      <c r="L56" s="6"/>
      <c r="M56" s="6"/>
      <c r="N56" s="6"/>
      <c r="O56" s="6"/>
      <c r="P56" s="6"/>
      <c r="Q56" s="6"/>
      <c r="R56" s="6"/>
      <c r="S56" s="6"/>
      <c r="T56" s="6"/>
      <c r="U56" s="6"/>
      <c r="V56" s="6"/>
      <c r="W56" s="6"/>
      <c r="X56" s="6"/>
      <c r="Y56" s="6"/>
      <c r="Z56" s="6"/>
    </row>
    <row r="57" customFormat="false" ht="15.75" hidden="false" customHeight="false" outlineLevel="0" collapsed="false">
      <c r="A57" s="6"/>
      <c r="B57" s="6"/>
      <c r="C57" s="6"/>
      <c r="D57" s="6"/>
      <c r="E57" s="6"/>
      <c r="F57" s="6"/>
      <c r="G57" s="6"/>
      <c r="H57" s="6"/>
      <c r="I57" s="6"/>
      <c r="J57" s="6"/>
      <c r="K57" s="6"/>
      <c r="L57" s="6"/>
      <c r="M57" s="6"/>
      <c r="N57" s="6"/>
      <c r="O57" s="6"/>
      <c r="P57" s="6"/>
      <c r="Q57" s="6"/>
      <c r="R57" s="6"/>
      <c r="S57" s="6"/>
      <c r="T57" s="6"/>
      <c r="U57" s="6"/>
      <c r="V57" s="6"/>
      <c r="W57" s="6"/>
      <c r="X57" s="6"/>
      <c r="Y57" s="6"/>
      <c r="Z57" s="6"/>
    </row>
    <row r="58" customFormat="false" ht="15.75" hidden="false" customHeight="false" outlineLevel="0" collapsed="false">
      <c r="A58" s="6"/>
      <c r="B58" s="6"/>
      <c r="C58" s="6"/>
      <c r="D58" s="6"/>
      <c r="E58" s="6"/>
      <c r="F58" s="6"/>
      <c r="G58" s="6"/>
      <c r="H58" s="6"/>
      <c r="I58" s="6"/>
      <c r="J58" s="6"/>
      <c r="K58" s="6"/>
      <c r="L58" s="6"/>
      <c r="M58" s="6"/>
      <c r="N58" s="6"/>
      <c r="O58" s="6"/>
      <c r="P58" s="6"/>
      <c r="Q58" s="6"/>
      <c r="R58" s="6"/>
      <c r="S58" s="6"/>
      <c r="T58" s="6"/>
      <c r="U58" s="6"/>
      <c r="V58" s="6"/>
      <c r="W58" s="6"/>
      <c r="X58" s="6"/>
      <c r="Y58" s="6"/>
      <c r="Z58" s="6"/>
    </row>
    <row r="59" customFormat="false" ht="15.75" hidden="false" customHeight="false" outlineLevel="0" collapsed="false">
      <c r="A59" s="6"/>
      <c r="B59" s="6"/>
      <c r="C59" s="6"/>
      <c r="D59" s="6"/>
      <c r="E59" s="6"/>
      <c r="F59" s="6"/>
      <c r="G59" s="6"/>
      <c r="H59" s="6"/>
      <c r="I59" s="6"/>
      <c r="J59" s="6"/>
      <c r="K59" s="6"/>
      <c r="L59" s="6"/>
      <c r="M59" s="6"/>
      <c r="N59" s="6"/>
      <c r="O59" s="6"/>
      <c r="P59" s="6"/>
      <c r="Q59" s="6"/>
      <c r="R59" s="6"/>
      <c r="S59" s="6"/>
      <c r="T59" s="6"/>
      <c r="U59" s="6"/>
      <c r="V59" s="6"/>
      <c r="W59" s="6"/>
      <c r="X59" s="6"/>
      <c r="Y59" s="6"/>
      <c r="Z59" s="6"/>
    </row>
    <row r="60" customFormat="false" ht="15.75" hidden="false" customHeight="false" outlineLevel="0" collapsed="false">
      <c r="A60" s="6"/>
      <c r="B60" s="6"/>
      <c r="C60" s="6"/>
      <c r="D60" s="6"/>
      <c r="E60" s="6"/>
      <c r="F60" s="6"/>
      <c r="G60" s="6"/>
      <c r="H60" s="6"/>
      <c r="I60" s="6"/>
      <c r="J60" s="6"/>
      <c r="K60" s="6"/>
      <c r="L60" s="6"/>
      <c r="M60" s="6"/>
      <c r="N60" s="6"/>
      <c r="O60" s="6"/>
      <c r="P60" s="6"/>
      <c r="Q60" s="6"/>
      <c r="R60" s="6"/>
      <c r="S60" s="6"/>
      <c r="T60" s="6"/>
      <c r="U60" s="6"/>
      <c r="V60" s="6"/>
      <c r="W60" s="6"/>
      <c r="X60" s="6"/>
      <c r="Y60" s="6"/>
      <c r="Z60" s="6"/>
    </row>
    <row r="61" customFormat="false" ht="15.75" hidden="false" customHeight="false" outlineLevel="0" collapsed="false">
      <c r="A61" s="6"/>
      <c r="B61" s="6"/>
      <c r="C61" s="6"/>
      <c r="D61" s="6"/>
      <c r="E61" s="6"/>
      <c r="F61" s="6"/>
      <c r="G61" s="6"/>
      <c r="H61" s="6"/>
      <c r="I61" s="6"/>
      <c r="J61" s="6"/>
      <c r="K61" s="6"/>
      <c r="L61" s="6"/>
      <c r="M61" s="6"/>
      <c r="N61" s="6"/>
      <c r="O61" s="6"/>
      <c r="P61" s="6"/>
      <c r="Q61" s="6"/>
      <c r="R61" s="6"/>
      <c r="S61" s="6"/>
      <c r="T61" s="6"/>
      <c r="U61" s="6"/>
      <c r="V61" s="6"/>
      <c r="W61" s="6"/>
      <c r="X61" s="6"/>
      <c r="Y61" s="6"/>
      <c r="Z61" s="6"/>
    </row>
    <row r="62" customFormat="false" ht="15.75" hidden="false" customHeight="false" outlineLevel="0" collapsed="false">
      <c r="A62" s="6"/>
      <c r="B62" s="6"/>
      <c r="C62" s="6"/>
      <c r="D62" s="6"/>
      <c r="E62" s="6"/>
      <c r="F62" s="6"/>
      <c r="G62" s="6"/>
      <c r="H62" s="6"/>
      <c r="I62" s="6"/>
      <c r="J62" s="6"/>
      <c r="K62" s="6"/>
      <c r="L62" s="6"/>
      <c r="M62" s="6"/>
      <c r="N62" s="6"/>
      <c r="O62" s="6"/>
      <c r="P62" s="6"/>
      <c r="Q62" s="6"/>
      <c r="R62" s="6"/>
      <c r="S62" s="6"/>
      <c r="T62" s="6"/>
      <c r="U62" s="6"/>
      <c r="V62" s="6"/>
      <c r="W62" s="6"/>
      <c r="X62" s="6"/>
      <c r="Y62" s="6"/>
      <c r="Z62" s="6"/>
    </row>
    <row r="63" customFormat="false" ht="15.75" hidden="false" customHeight="false" outlineLevel="0" collapsed="false">
      <c r="A63" s="6"/>
      <c r="B63" s="6"/>
      <c r="C63" s="6"/>
      <c r="D63" s="6"/>
      <c r="E63" s="6"/>
      <c r="F63" s="6"/>
      <c r="G63" s="6"/>
      <c r="H63" s="6"/>
      <c r="I63" s="6"/>
      <c r="J63" s="6"/>
      <c r="K63" s="6"/>
      <c r="L63" s="6"/>
      <c r="M63" s="6"/>
      <c r="N63" s="6"/>
      <c r="O63" s="6"/>
      <c r="P63" s="6"/>
      <c r="Q63" s="6"/>
      <c r="R63" s="6"/>
      <c r="S63" s="6"/>
      <c r="T63" s="6"/>
      <c r="U63" s="6"/>
      <c r="V63" s="6"/>
      <c r="W63" s="6"/>
      <c r="X63" s="6"/>
      <c r="Y63" s="6"/>
      <c r="Z63" s="6"/>
    </row>
    <row r="64" customFormat="false" ht="15.75" hidden="false" customHeight="false" outlineLevel="0" collapsed="false">
      <c r="A64" s="6"/>
      <c r="B64" s="6"/>
      <c r="C64" s="6"/>
      <c r="D64" s="6"/>
      <c r="E64" s="6"/>
      <c r="F64" s="6"/>
      <c r="G64" s="6"/>
      <c r="H64" s="6"/>
      <c r="I64" s="6"/>
      <c r="J64" s="6"/>
      <c r="K64" s="6"/>
      <c r="L64" s="6"/>
      <c r="M64" s="6"/>
      <c r="N64" s="6"/>
      <c r="O64" s="6"/>
      <c r="P64" s="6"/>
      <c r="Q64" s="6"/>
      <c r="R64" s="6"/>
      <c r="S64" s="6"/>
      <c r="T64" s="6"/>
      <c r="U64" s="6"/>
      <c r="V64" s="6"/>
      <c r="W64" s="6"/>
      <c r="X64" s="6"/>
      <c r="Y64" s="6"/>
      <c r="Z64" s="6"/>
    </row>
    <row r="65" customFormat="false" ht="15.75" hidden="false" customHeight="false" outlineLevel="0" collapsed="false">
      <c r="A65" s="6"/>
      <c r="B65" s="6"/>
      <c r="C65" s="6"/>
      <c r="D65" s="6"/>
      <c r="E65" s="6"/>
      <c r="F65" s="6"/>
      <c r="G65" s="6"/>
      <c r="H65" s="6"/>
      <c r="I65" s="6"/>
      <c r="J65" s="6"/>
      <c r="K65" s="6"/>
      <c r="L65" s="6"/>
      <c r="M65" s="6"/>
      <c r="N65" s="6"/>
      <c r="O65" s="6"/>
      <c r="P65" s="6"/>
      <c r="Q65" s="6"/>
      <c r="R65" s="6"/>
      <c r="S65" s="6"/>
      <c r="T65" s="6"/>
      <c r="U65" s="6"/>
      <c r="V65" s="6"/>
      <c r="W65" s="6"/>
      <c r="X65" s="6"/>
      <c r="Y65" s="6"/>
      <c r="Z65" s="6"/>
    </row>
    <row r="66" customFormat="false" ht="15.75" hidden="false" customHeight="false" outlineLevel="0" collapsed="false">
      <c r="A66" s="6"/>
      <c r="B66" s="6"/>
      <c r="C66" s="6"/>
      <c r="D66" s="6"/>
      <c r="E66" s="6"/>
      <c r="F66" s="6"/>
      <c r="G66" s="6"/>
      <c r="H66" s="6"/>
      <c r="I66" s="6"/>
      <c r="J66" s="6"/>
      <c r="K66" s="6"/>
      <c r="L66" s="6"/>
      <c r="M66" s="6"/>
      <c r="N66" s="6"/>
      <c r="O66" s="6"/>
      <c r="P66" s="6"/>
      <c r="Q66" s="6"/>
      <c r="R66" s="6"/>
      <c r="S66" s="6"/>
      <c r="T66" s="6"/>
      <c r="U66" s="6"/>
      <c r="V66" s="6"/>
      <c r="W66" s="6"/>
      <c r="X66" s="6"/>
      <c r="Y66" s="6"/>
      <c r="Z66" s="6"/>
    </row>
    <row r="67" customFormat="false" ht="15.75" hidden="false" customHeight="false" outlineLevel="0" collapsed="false">
      <c r="A67" s="6"/>
      <c r="B67" s="6"/>
      <c r="C67" s="6"/>
      <c r="D67" s="6"/>
      <c r="E67" s="6"/>
      <c r="F67" s="6"/>
      <c r="G67" s="6"/>
      <c r="H67" s="6"/>
      <c r="I67" s="6"/>
      <c r="J67" s="6"/>
      <c r="K67" s="6"/>
      <c r="L67" s="6"/>
      <c r="M67" s="6"/>
      <c r="N67" s="6"/>
      <c r="O67" s="6"/>
      <c r="P67" s="6"/>
      <c r="Q67" s="6"/>
      <c r="R67" s="6"/>
      <c r="S67" s="6"/>
      <c r="T67" s="6"/>
      <c r="U67" s="6"/>
      <c r="V67" s="6"/>
      <c r="W67" s="6"/>
      <c r="X67" s="6"/>
      <c r="Y67" s="6"/>
      <c r="Z67" s="6"/>
    </row>
    <row r="68" customFormat="false" ht="15.75" hidden="false" customHeight="false" outlineLevel="0" collapsed="false">
      <c r="A68" s="6"/>
      <c r="B68" s="6"/>
      <c r="C68" s="6"/>
      <c r="D68" s="6"/>
      <c r="E68" s="6"/>
      <c r="F68" s="6"/>
      <c r="G68" s="6"/>
      <c r="H68" s="6"/>
      <c r="I68" s="6"/>
      <c r="J68" s="6"/>
      <c r="K68" s="6"/>
      <c r="L68" s="6"/>
      <c r="M68" s="6"/>
      <c r="N68" s="6"/>
      <c r="O68" s="6"/>
      <c r="P68" s="6"/>
      <c r="Q68" s="6"/>
      <c r="R68" s="6"/>
      <c r="S68" s="6"/>
      <c r="T68" s="6"/>
      <c r="U68" s="6"/>
      <c r="V68" s="6"/>
      <c r="W68" s="6"/>
      <c r="X68" s="6"/>
      <c r="Y68" s="6"/>
      <c r="Z68" s="6"/>
    </row>
    <row r="69" customFormat="false" ht="15.75" hidden="false" customHeight="false" outlineLevel="0" collapsed="false">
      <c r="A69" s="6"/>
      <c r="B69" s="6"/>
      <c r="C69" s="6"/>
      <c r="D69" s="6"/>
      <c r="E69" s="6"/>
      <c r="F69" s="6"/>
      <c r="G69" s="6"/>
      <c r="H69" s="6"/>
      <c r="I69" s="6"/>
      <c r="J69" s="6"/>
      <c r="K69" s="6"/>
      <c r="L69" s="6"/>
      <c r="M69" s="6"/>
      <c r="N69" s="6"/>
      <c r="O69" s="6"/>
      <c r="P69" s="6"/>
      <c r="Q69" s="6"/>
      <c r="R69" s="6"/>
      <c r="S69" s="6"/>
      <c r="T69" s="6"/>
      <c r="U69" s="6"/>
      <c r="V69" s="6"/>
      <c r="W69" s="6"/>
      <c r="X69" s="6"/>
      <c r="Y69" s="6"/>
      <c r="Z69" s="6"/>
    </row>
    <row r="70" customFormat="false" ht="15.75" hidden="false" customHeight="false" outlineLevel="0" collapsed="false">
      <c r="A70" s="6"/>
      <c r="B70" s="6"/>
      <c r="C70" s="6"/>
      <c r="D70" s="6"/>
      <c r="E70" s="6"/>
      <c r="F70" s="6"/>
      <c r="G70" s="6"/>
      <c r="H70" s="6"/>
      <c r="I70" s="6"/>
      <c r="J70" s="6"/>
      <c r="K70" s="6"/>
      <c r="L70" s="6"/>
      <c r="M70" s="6"/>
      <c r="N70" s="6"/>
      <c r="O70" s="6"/>
      <c r="P70" s="6"/>
      <c r="Q70" s="6"/>
      <c r="R70" s="6"/>
      <c r="S70" s="6"/>
      <c r="T70" s="6"/>
      <c r="U70" s="6"/>
      <c r="V70" s="6"/>
      <c r="W70" s="6"/>
      <c r="X70" s="6"/>
      <c r="Y70" s="6"/>
      <c r="Z70" s="6"/>
    </row>
    <row r="71" customFormat="false" ht="15.75" hidden="false" customHeight="false" outlineLevel="0" collapsed="false">
      <c r="A71" s="6"/>
      <c r="B71" s="6"/>
      <c r="C71" s="6"/>
      <c r="D71" s="6"/>
      <c r="E71" s="6"/>
      <c r="F71" s="6"/>
      <c r="G71" s="6"/>
      <c r="H71" s="6"/>
      <c r="I71" s="6"/>
      <c r="J71" s="6"/>
      <c r="K71" s="6"/>
      <c r="L71" s="6"/>
      <c r="M71" s="6"/>
      <c r="N71" s="6"/>
      <c r="O71" s="6"/>
      <c r="P71" s="6"/>
      <c r="Q71" s="6"/>
      <c r="R71" s="6"/>
      <c r="S71" s="6"/>
      <c r="T71" s="6"/>
      <c r="U71" s="6"/>
      <c r="V71" s="6"/>
      <c r="W71" s="6"/>
      <c r="X71" s="6"/>
      <c r="Y71" s="6"/>
      <c r="Z71" s="6"/>
    </row>
    <row r="72" customFormat="false" ht="15.75" hidden="false" customHeight="false" outlineLevel="0" collapsed="false">
      <c r="A72" s="6"/>
      <c r="B72" s="6"/>
      <c r="C72" s="6"/>
      <c r="D72" s="6"/>
      <c r="E72" s="6"/>
      <c r="F72" s="6"/>
      <c r="G72" s="6"/>
      <c r="H72" s="6"/>
      <c r="I72" s="6"/>
      <c r="J72" s="6"/>
      <c r="K72" s="6"/>
      <c r="L72" s="6"/>
      <c r="M72" s="6"/>
      <c r="N72" s="6"/>
      <c r="O72" s="6"/>
      <c r="P72" s="6"/>
      <c r="Q72" s="6"/>
      <c r="R72" s="6"/>
      <c r="S72" s="6"/>
      <c r="T72" s="6"/>
      <c r="U72" s="6"/>
      <c r="V72" s="6"/>
      <c r="W72" s="6"/>
      <c r="X72" s="6"/>
      <c r="Y72" s="6"/>
      <c r="Z72" s="6"/>
    </row>
    <row r="73" customFormat="false" ht="15.75" hidden="false" customHeight="false" outlineLevel="0" collapsed="false">
      <c r="A73" s="6"/>
      <c r="B73" s="6"/>
      <c r="C73" s="6"/>
      <c r="D73" s="6"/>
      <c r="E73" s="6"/>
      <c r="F73" s="6"/>
      <c r="G73" s="6"/>
      <c r="H73" s="6"/>
      <c r="I73" s="6"/>
      <c r="J73" s="6"/>
      <c r="K73" s="6"/>
      <c r="L73" s="6"/>
      <c r="M73" s="6"/>
      <c r="N73" s="6"/>
      <c r="O73" s="6"/>
      <c r="P73" s="6"/>
      <c r="Q73" s="6"/>
      <c r="R73" s="6"/>
      <c r="S73" s="6"/>
      <c r="T73" s="6"/>
      <c r="U73" s="6"/>
      <c r="V73" s="6"/>
      <c r="W73" s="6"/>
      <c r="X73" s="6"/>
      <c r="Y73" s="6"/>
      <c r="Z73" s="6"/>
    </row>
    <row r="74" customFormat="false" ht="15.75" hidden="false" customHeight="false" outlineLevel="0" collapsed="false">
      <c r="A74" s="6"/>
      <c r="B74" s="6"/>
      <c r="C74" s="6"/>
      <c r="D74" s="6"/>
      <c r="E74" s="6"/>
      <c r="F74" s="6"/>
      <c r="G74" s="6"/>
      <c r="H74" s="6"/>
      <c r="I74" s="6"/>
      <c r="J74" s="6"/>
      <c r="K74" s="6"/>
      <c r="L74" s="6"/>
      <c r="M74" s="6"/>
      <c r="N74" s="6"/>
      <c r="O74" s="6"/>
      <c r="P74" s="6"/>
      <c r="Q74" s="6"/>
      <c r="R74" s="6"/>
      <c r="S74" s="6"/>
      <c r="T74" s="6"/>
      <c r="U74" s="6"/>
      <c r="V74" s="6"/>
      <c r="W74" s="6"/>
      <c r="X74" s="6"/>
      <c r="Y74" s="6"/>
      <c r="Z74" s="6"/>
    </row>
    <row r="75" customFormat="false" ht="15.75" hidden="false" customHeight="false" outlineLevel="0" collapsed="false">
      <c r="A75" s="6"/>
      <c r="B75" s="6"/>
      <c r="C75" s="6"/>
      <c r="D75" s="6"/>
      <c r="E75" s="6"/>
      <c r="F75" s="6"/>
      <c r="G75" s="6"/>
      <c r="H75" s="6"/>
      <c r="I75" s="6"/>
      <c r="J75" s="6"/>
      <c r="K75" s="6"/>
      <c r="L75" s="6"/>
      <c r="M75" s="6"/>
      <c r="N75" s="6"/>
      <c r="O75" s="6"/>
      <c r="P75" s="6"/>
      <c r="Q75" s="6"/>
      <c r="R75" s="6"/>
      <c r="S75" s="6"/>
      <c r="T75" s="6"/>
      <c r="U75" s="6"/>
      <c r="V75" s="6"/>
      <c r="W75" s="6"/>
      <c r="X75" s="6"/>
      <c r="Y75" s="6"/>
      <c r="Z75" s="6"/>
    </row>
    <row r="76" customFormat="false" ht="15.75" hidden="false" customHeight="false" outlineLevel="0" collapsed="false">
      <c r="A76" s="6"/>
      <c r="B76" s="6"/>
      <c r="C76" s="6"/>
      <c r="D76" s="6"/>
      <c r="E76" s="6"/>
      <c r="F76" s="6"/>
      <c r="G76" s="6"/>
      <c r="H76" s="6"/>
      <c r="I76" s="6"/>
      <c r="J76" s="6"/>
      <c r="K76" s="6"/>
      <c r="L76" s="6"/>
      <c r="M76" s="6"/>
      <c r="N76" s="6"/>
      <c r="O76" s="6"/>
      <c r="P76" s="6"/>
      <c r="Q76" s="6"/>
      <c r="R76" s="6"/>
      <c r="S76" s="6"/>
      <c r="T76" s="6"/>
      <c r="U76" s="6"/>
      <c r="V76" s="6"/>
      <c r="W76" s="6"/>
      <c r="X76" s="6"/>
      <c r="Y76" s="6"/>
      <c r="Z76" s="6"/>
    </row>
    <row r="77" customFormat="false" ht="15.75" hidden="false" customHeight="false" outlineLevel="0" collapsed="false">
      <c r="A77" s="6"/>
      <c r="B77" s="6"/>
      <c r="C77" s="6"/>
      <c r="D77" s="6"/>
      <c r="E77" s="6"/>
      <c r="F77" s="6"/>
      <c r="G77" s="6"/>
      <c r="H77" s="6"/>
      <c r="I77" s="6"/>
      <c r="J77" s="6"/>
      <c r="K77" s="6"/>
      <c r="L77" s="6"/>
      <c r="M77" s="6"/>
      <c r="N77" s="6"/>
      <c r="O77" s="6"/>
      <c r="P77" s="6"/>
      <c r="Q77" s="6"/>
      <c r="R77" s="6"/>
      <c r="S77" s="6"/>
      <c r="T77" s="6"/>
      <c r="U77" s="6"/>
      <c r="V77" s="6"/>
      <c r="W77" s="6"/>
      <c r="X77" s="6"/>
      <c r="Y77" s="6"/>
      <c r="Z77" s="6"/>
    </row>
    <row r="78" customFormat="false" ht="15.75" hidden="false" customHeight="false" outlineLevel="0" collapsed="false">
      <c r="A78" s="6"/>
      <c r="B78" s="6"/>
      <c r="C78" s="6"/>
      <c r="D78" s="6"/>
      <c r="E78" s="6"/>
      <c r="F78" s="6"/>
      <c r="G78" s="6"/>
      <c r="H78" s="6"/>
      <c r="I78" s="6"/>
      <c r="J78" s="6"/>
      <c r="K78" s="6"/>
      <c r="L78" s="6"/>
      <c r="M78" s="6"/>
      <c r="N78" s="6"/>
      <c r="O78" s="6"/>
      <c r="P78" s="6"/>
      <c r="Q78" s="6"/>
      <c r="R78" s="6"/>
      <c r="S78" s="6"/>
      <c r="T78" s="6"/>
      <c r="U78" s="6"/>
      <c r="V78" s="6"/>
      <c r="W78" s="6"/>
      <c r="X78" s="6"/>
      <c r="Y78" s="6"/>
      <c r="Z78" s="6"/>
    </row>
    <row r="79" customFormat="false" ht="15.75" hidden="false" customHeight="false" outlineLevel="0" collapsed="false">
      <c r="A79" s="6"/>
      <c r="B79" s="6"/>
      <c r="C79" s="6"/>
      <c r="D79" s="6"/>
      <c r="E79" s="6"/>
      <c r="F79" s="6"/>
      <c r="G79" s="6"/>
      <c r="H79" s="6"/>
      <c r="I79" s="6"/>
      <c r="J79" s="6"/>
      <c r="K79" s="6"/>
      <c r="L79" s="6"/>
      <c r="M79" s="6"/>
      <c r="N79" s="6"/>
      <c r="O79" s="6"/>
      <c r="P79" s="6"/>
      <c r="Q79" s="6"/>
      <c r="R79" s="6"/>
      <c r="S79" s="6"/>
      <c r="T79" s="6"/>
      <c r="U79" s="6"/>
      <c r="V79" s="6"/>
      <c r="W79" s="6"/>
      <c r="X79" s="6"/>
      <c r="Y79" s="6"/>
      <c r="Z79" s="6"/>
    </row>
    <row r="80" customFormat="false" ht="15.75" hidden="false" customHeight="false" outlineLevel="0" collapsed="false">
      <c r="A80" s="6"/>
      <c r="B80" s="6"/>
      <c r="C80" s="6"/>
      <c r="D80" s="6"/>
      <c r="E80" s="6"/>
      <c r="F80" s="6"/>
      <c r="G80" s="6"/>
      <c r="H80" s="6"/>
      <c r="I80" s="6"/>
      <c r="J80" s="6"/>
      <c r="K80" s="6"/>
      <c r="L80" s="6"/>
      <c r="M80" s="6"/>
      <c r="N80" s="6"/>
      <c r="O80" s="6"/>
      <c r="P80" s="6"/>
      <c r="Q80" s="6"/>
      <c r="R80" s="6"/>
      <c r="S80" s="6"/>
      <c r="T80" s="6"/>
      <c r="U80" s="6"/>
      <c r="V80" s="6"/>
      <c r="W80" s="6"/>
      <c r="X80" s="6"/>
      <c r="Y80" s="6"/>
      <c r="Z80" s="6"/>
    </row>
    <row r="81" customFormat="false" ht="15.75" hidden="false" customHeight="false" outlineLevel="0" collapsed="false">
      <c r="A81" s="6"/>
      <c r="B81" s="6"/>
      <c r="C81" s="6"/>
      <c r="D81" s="6"/>
      <c r="E81" s="6"/>
      <c r="F81" s="6"/>
      <c r="G81" s="6"/>
      <c r="H81" s="6"/>
      <c r="I81" s="6"/>
      <c r="J81" s="6"/>
      <c r="K81" s="6"/>
      <c r="L81" s="6"/>
      <c r="M81" s="6"/>
      <c r="N81" s="6"/>
      <c r="O81" s="6"/>
      <c r="P81" s="6"/>
      <c r="Q81" s="6"/>
      <c r="R81" s="6"/>
      <c r="S81" s="6"/>
      <c r="T81" s="6"/>
      <c r="U81" s="6"/>
      <c r="V81" s="6"/>
      <c r="W81" s="6"/>
      <c r="X81" s="6"/>
      <c r="Y81" s="6"/>
      <c r="Z81" s="6"/>
    </row>
    <row r="82" customFormat="false" ht="15.75" hidden="false" customHeight="false" outlineLevel="0" collapsed="false">
      <c r="A82" s="6"/>
      <c r="B82" s="6"/>
      <c r="C82" s="6"/>
      <c r="D82" s="6"/>
      <c r="E82" s="6"/>
      <c r="F82" s="6"/>
      <c r="G82" s="6"/>
      <c r="H82" s="6"/>
      <c r="I82" s="6"/>
      <c r="J82" s="6"/>
      <c r="K82" s="6"/>
      <c r="L82" s="6"/>
      <c r="M82" s="6"/>
      <c r="N82" s="6"/>
      <c r="O82" s="6"/>
      <c r="P82" s="6"/>
      <c r="Q82" s="6"/>
      <c r="R82" s="6"/>
      <c r="S82" s="6"/>
      <c r="T82" s="6"/>
      <c r="U82" s="6"/>
      <c r="V82" s="6"/>
      <c r="W82" s="6"/>
      <c r="X82" s="6"/>
      <c r="Y82" s="6"/>
      <c r="Z82" s="6"/>
    </row>
    <row r="83" customFormat="false" ht="15.75" hidden="false" customHeight="false" outlineLevel="0" collapsed="false">
      <c r="A83" s="6"/>
      <c r="B83" s="6"/>
      <c r="C83" s="6"/>
      <c r="D83" s="6"/>
      <c r="E83" s="6"/>
      <c r="F83" s="6"/>
      <c r="G83" s="6"/>
      <c r="H83" s="6"/>
      <c r="I83" s="6"/>
      <c r="J83" s="6"/>
      <c r="K83" s="6"/>
      <c r="L83" s="6"/>
      <c r="M83" s="6"/>
      <c r="N83" s="6"/>
      <c r="O83" s="6"/>
      <c r="P83" s="6"/>
      <c r="Q83" s="6"/>
      <c r="R83" s="6"/>
      <c r="S83" s="6"/>
      <c r="T83" s="6"/>
      <c r="U83" s="6"/>
      <c r="V83" s="6"/>
      <c r="W83" s="6"/>
      <c r="X83" s="6"/>
      <c r="Y83" s="6"/>
      <c r="Z83" s="6"/>
    </row>
    <row r="84" customFormat="false" ht="15.75" hidden="false" customHeight="false" outlineLevel="0" collapsed="false">
      <c r="A84" s="6"/>
      <c r="B84" s="6"/>
      <c r="C84" s="6"/>
      <c r="D84" s="6"/>
      <c r="E84" s="6"/>
      <c r="F84" s="6"/>
      <c r="G84" s="6"/>
      <c r="H84" s="6"/>
      <c r="I84" s="6"/>
      <c r="J84" s="6"/>
      <c r="K84" s="6"/>
      <c r="L84" s="6"/>
      <c r="M84" s="6"/>
      <c r="N84" s="6"/>
      <c r="O84" s="6"/>
      <c r="P84" s="6"/>
      <c r="Q84" s="6"/>
      <c r="R84" s="6"/>
      <c r="S84" s="6"/>
      <c r="T84" s="6"/>
      <c r="U84" s="6"/>
      <c r="V84" s="6"/>
      <c r="W84" s="6"/>
      <c r="X84" s="6"/>
      <c r="Y84" s="6"/>
      <c r="Z84" s="6"/>
    </row>
    <row r="85" customFormat="false" ht="15.75" hidden="false" customHeight="false" outlineLevel="0" collapsed="false">
      <c r="A85" s="6"/>
      <c r="B85" s="6"/>
      <c r="C85" s="6"/>
      <c r="D85" s="6"/>
      <c r="E85" s="6"/>
      <c r="F85" s="6"/>
      <c r="G85" s="6"/>
      <c r="H85" s="6"/>
      <c r="I85" s="6"/>
      <c r="J85" s="6"/>
      <c r="K85" s="6"/>
      <c r="L85" s="6"/>
      <c r="M85" s="6"/>
      <c r="N85" s="6"/>
      <c r="O85" s="6"/>
      <c r="P85" s="6"/>
      <c r="Q85" s="6"/>
      <c r="R85" s="6"/>
      <c r="S85" s="6"/>
      <c r="T85" s="6"/>
      <c r="U85" s="6"/>
      <c r="V85" s="6"/>
      <c r="W85" s="6"/>
      <c r="X85" s="6"/>
      <c r="Y85" s="6"/>
      <c r="Z85" s="6"/>
    </row>
    <row r="86" customFormat="false" ht="15.75" hidden="false" customHeight="false" outlineLevel="0" collapsed="false">
      <c r="A86" s="6"/>
      <c r="B86" s="6"/>
      <c r="C86" s="6"/>
      <c r="D86" s="6"/>
      <c r="E86" s="6"/>
      <c r="F86" s="6"/>
      <c r="G86" s="6"/>
      <c r="H86" s="6"/>
      <c r="I86" s="6"/>
      <c r="J86" s="6"/>
      <c r="K86" s="6"/>
      <c r="L86" s="6"/>
      <c r="M86" s="6"/>
      <c r="N86" s="6"/>
      <c r="O86" s="6"/>
      <c r="P86" s="6"/>
      <c r="Q86" s="6"/>
      <c r="R86" s="6"/>
      <c r="S86" s="6"/>
      <c r="T86" s="6"/>
      <c r="U86" s="6"/>
      <c r="V86" s="6"/>
      <c r="W86" s="6"/>
      <c r="X86" s="6"/>
      <c r="Y86" s="6"/>
      <c r="Z86" s="6"/>
    </row>
    <row r="87" customFormat="false" ht="15.75" hidden="false" customHeight="false" outlineLevel="0" collapsed="false">
      <c r="A87" s="6"/>
      <c r="B87" s="6"/>
      <c r="C87" s="6"/>
      <c r="D87" s="6"/>
      <c r="E87" s="6"/>
      <c r="F87" s="6"/>
      <c r="G87" s="6"/>
      <c r="H87" s="6"/>
      <c r="I87" s="6"/>
      <c r="J87" s="6"/>
      <c r="K87" s="6"/>
      <c r="L87" s="6"/>
      <c r="M87" s="6"/>
      <c r="N87" s="6"/>
      <c r="O87" s="6"/>
      <c r="P87" s="6"/>
      <c r="Q87" s="6"/>
      <c r="R87" s="6"/>
      <c r="S87" s="6"/>
      <c r="T87" s="6"/>
      <c r="U87" s="6"/>
      <c r="V87" s="6"/>
      <c r="W87" s="6"/>
      <c r="X87" s="6"/>
      <c r="Y87" s="6"/>
      <c r="Z87" s="6"/>
    </row>
    <row r="88" customFormat="false" ht="15.75" hidden="false" customHeight="false" outlineLevel="0" collapsed="false">
      <c r="A88" s="6"/>
      <c r="B88" s="6"/>
      <c r="C88" s="6"/>
      <c r="D88" s="6"/>
      <c r="E88" s="6"/>
      <c r="F88" s="6"/>
      <c r="G88" s="6"/>
      <c r="H88" s="6"/>
      <c r="I88" s="6"/>
      <c r="J88" s="6"/>
      <c r="K88" s="6"/>
      <c r="L88" s="6"/>
      <c r="M88" s="6"/>
      <c r="N88" s="6"/>
      <c r="O88" s="6"/>
      <c r="P88" s="6"/>
      <c r="Q88" s="6"/>
      <c r="R88" s="6"/>
      <c r="S88" s="6"/>
      <c r="T88" s="6"/>
      <c r="U88" s="6"/>
      <c r="V88" s="6"/>
      <c r="W88" s="6"/>
      <c r="X88" s="6"/>
      <c r="Y88" s="6"/>
      <c r="Z88" s="6"/>
    </row>
    <row r="89" customFormat="false" ht="15.75" hidden="false" customHeight="false" outlineLevel="0" collapsed="false">
      <c r="A89" s="6"/>
      <c r="B89" s="6"/>
      <c r="C89" s="6"/>
      <c r="D89" s="6"/>
      <c r="E89" s="6"/>
      <c r="F89" s="6"/>
      <c r="G89" s="6"/>
      <c r="H89" s="6"/>
      <c r="I89" s="6"/>
      <c r="J89" s="6"/>
      <c r="K89" s="6"/>
      <c r="L89" s="6"/>
      <c r="M89" s="6"/>
      <c r="N89" s="6"/>
      <c r="O89" s="6"/>
      <c r="P89" s="6"/>
      <c r="Q89" s="6"/>
      <c r="R89" s="6"/>
      <c r="S89" s="6"/>
      <c r="T89" s="6"/>
      <c r="U89" s="6"/>
      <c r="V89" s="6"/>
      <c r="W89" s="6"/>
      <c r="X89" s="6"/>
      <c r="Y89" s="6"/>
      <c r="Z89" s="6"/>
    </row>
    <row r="90" customFormat="false" ht="15.75" hidden="false" customHeight="false" outlineLevel="0" collapsed="false">
      <c r="A90" s="6"/>
      <c r="B90" s="6"/>
      <c r="C90" s="6"/>
      <c r="D90" s="6"/>
      <c r="E90" s="6"/>
      <c r="F90" s="6"/>
      <c r="G90" s="6"/>
      <c r="H90" s="6"/>
      <c r="I90" s="6"/>
      <c r="J90" s="6"/>
      <c r="K90" s="6"/>
      <c r="L90" s="6"/>
      <c r="M90" s="6"/>
      <c r="N90" s="6"/>
      <c r="O90" s="6"/>
      <c r="P90" s="6"/>
      <c r="Q90" s="6"/>
      <c r="R90" s="6"/>
      <c r="S90" s="6"/>
      <c r="T90" s="6"/>
      <c r="U90" s="6"/>
      <c r="V90" s="6"/>
      <c r="W90" s="6"/>
      <c r="X90" s="6"/>
      <c r="Y90" s="6"/>
      <c r="Z90" s="6"/>
    </row>
    <row r="91" customFormat="false" ht="15.75" hidden="false" customHeight="false" outlineLevel="0" collapsed="false">
      <c r="A91" s="6"/>
      <c r="B91" s="6"/>
      <c r="C91" s="6"/>
      <c r="D91" s="6"/>
      <c r="E91" s="6"/>
      <c r="F91" s="6"/>
      <c r="G91" s="6"/>
      <c r="H91" s="6"/>
      <c r="I91" s="6"/>
      <c r="J91" s="6"/>
      <c r="K91" s="6"/>
      <c r="L91" s="6"/>
      <c r="M91" s="6"/>
      <c r="N91" s="6"/>
      <c r="O91" s="6"/>
      <c r="P91" s="6"/>
      <c r="Q91" s="6"/>
      <c r="R91" s="6"/>
      <c r="S91" s="6"/>
      <c r="T91" s="6"/>
      <c r="U91" s="6"/>
      <c r="V91" s="6"/>
      <c r="W91" s="6"/>
      <c r="X91" s="6"/>
      <c r="Y91" s="6"/>
      <c r="Z91" s="6"/>
    </row>
    <row r="92" customFormat="false" ht="15.75" hidden="false" customHeight="false" outlineLevel="0" collapsed="false">
      <c r="A92" s="6"/>
      <c r="B92" s="6"/>
      <c r="C92" s="6"/>
      <c r="D92" s="6"/>
      <c r="E92" s="6"/>
      <c r="F92" s="6"/>
      <c r="G92" s="6"/>
      <c r="H92" s="6"/>
      <c r="I92" s="6"/>
      <c r="J92" s="6"/>
      <c r="K92" s="6"/>
      <c r="L92" s="6"/>
      <c r="M92" s="6"/>
      <c r="N92" s="6"/>
      <c r="O92" s="6"/>
      <c r="P92" s="6"/>
      <c r="Q92" s="6"/>
      <c r="R92" s="6"/>
      <c r="S92" s="6"/>
      <c r="T92" s="6"/>
      <c r="U92" s="6"/>
      <c r="V92" s="6"/>
      <c r="W92" s="6"/>
      <c r="X92" s="6"/>
      <c r="Y92" s="6"/>
      <c r="Z92" s="6"/>
    </row>
    <row r="93" customFormat="false" ht="15.75" hidden="false" customHeight="false" outlineLevel="0" collapsed="false">
      <c r="A93" s="6"/>
      <c r="B93" s="6"/>
      <c r="C93" s="6"/>
      <c r="D93" s="6"/>
      <c r="E93" s="6"/>
      <c r="F93" s="6"/>
      <c r="G93" s="6"/>
      <c r="H93" s="6"/>
      <c r="I93" s="6"/>
      <c r="J93" s="6"/>
      <c r="K93" s="6"/>
      <c r="L93" s="6"/>
      <c r="M93" s="6"/>
      <c r="N93" s="6"/>
      <c r="O93" s="6"/>
      <c r="P93" s="6"/>
      <c r="Q93" s="6"/>
      <c r="R93" s="6"/>
      <c r="S93" s="6"/>
      <c r="T93" s="6"/>
      <c r="U93" s="6"/>
      <c r="V93" s="6"/>
      <c r="W93" s="6"/>
      <c r="X93" s="6"/>
      <c r="Y93" s="6"/>
      <c r="Z93" s="6"/>
    </row>
    <row r="94" customFormat="false" ht="15.75" hidden="false" customHeight="false" outlineLevel="0" collapsed="false">
      <c r="A94" s="6"/>
      <c r="B94" s="6"/>
      <c r="C94" s="6"/>
      <c r="D94" s="6"/>
      <c r="E94" s="6"/>
      <c r="F94" s="6"/>
      <c r="G94" s="6"/>
      <c r="H94" s="6"/>
      <c r="I94" s="6"/>
      <c r="J94" s="6"/>
      <c r="K94" s="6"/>
      <c r="L94" s="6"/>
      <c r="M94" s="6"/>
      <c r="N94" s="6"/>
      <c r="O94" s="6"/>
      <c r="P94" s="6"/>
      <c r="Q94" s="6"/>
      <c r="R94" s="6"/>
      <c r="S94" s="6"/>
      <c r="T94" s="6"/>
      <c r="U94" s="6"/>
      <c r="V94" s="6"/>
      <c r="W94" s="6"/>
      <c r="X94" s="6"/>
      <c r="Y94" s="6"/>
      <c r="Z94" s="6"/>
    </row>
    <row r="95" customFormat="false" ht="15.75" hidden="false" customHeight="false" outlineLevel="0" collapsed="false">
      <c r="A95" s="6"/>
      <c r="B95" s="6"/>
      <c r="C95" s="6"/>
      <c r="D95" s="6"/>
      <c r="E95" s="6"/>
      <c r="F95" s="6"/>
      <c r="G95" s="6"/>
      <c r="H95" s="6"/>
      <c r="I95" s="6"/>
      <c r="J95" s="6"/>
      <c r="K95" s="6"/>
      <c r="L95" s="6"/>
      <c r="M95" s="6"/>
      <c r="N95" s="6"/>
      <c r="O95" s="6"/>
      <c r="P95" s="6"/>
      <c r="Q95" s="6"/>
      <c r="R95" s="6"/>
      <c r="S95" s="6"/>
      <c r="T95" s="6"/>
      <c r="U95" s="6"/>
      <c r="V95" s="6"/>
      <c r="W95" s="6"/>
      <c r="X95" s="6"/>
      <c r="Y95" s="6"/>
      <c r="Z95" s="6"/>
    </row>
    <row r="96" customFormat="false" ht="15.75" hidden="false" customHeight="false" outlineLevel="0" collapsed="false">
      <c r="A96" s="6"/>
      <c r="B96" s="6"/>
      <c r="C96" s="6"/>
      <c r="D96" s="6"/>
      <c r="E96" s="6"/>
      <c r="F96" s="6"/>
      <c r="G96" s="6"/>
      <c r="H96" s="6"/>
      <c r="I96" s="6"/>
      <c r="J96" s="6"/>
      <c r="K96" s="6"/>
      <c r="L96" s="6"/>
      <c r="M96" s="6"/>
      <c r="N96" s="6"/>
      <c r="O96" s="6"/>
      <c r="P96" s="6"/>
      <c r="Q96" s="6"/>
      <c r="R96" s="6"/>
      <c r="S96" s="6"/>
      <c r="T96" s="6"/>
      <c r="U96" s="6"/>
      <c r="V96" s="6"/>
      <c r="W96" s="6"/>
      <c r="X96" s="6"/>
      <c r="Y96" s="6"/>
      <c r="Z96" s="6"/>
    </row>
    <row r="97" customFormat="false" ht="15.75" hidden="false" customHeight="false" outlineLevel="0" collapsed="false">
      <c r="A97" s="6"/>
      <c r="B97" s="6"/>
      <c r="C97" s="6"/>
      <c r="D97" s="6"/>
      <c r="E97" s="6"/>
      <c r="F97" s="6"/>
      <c r="G97" s="6"/>
      <c r="H97" s="6"/>
      <c r="I97" s="6"/>
      <c r="J97" s="6"/>
      <c r="K97" s="6"/>
      <c r="L97" s="6"/>
      <c r="M97" s="6"/>
      <c r="N97" s="6"/>
      <c r="O97" s="6"/>
      <c r="P97" s="6"/>
      <c r="Q97" s="6"/>
      <c r="R97" s="6"/>
      <c r="S97" s="6"/>
      <c r="T97" s="6"/>
      <c r="U97" s="6"/>
      <c r="V97" s="6"/>
      <c r="W97" s="6"/>
      <c r="X97" s="6"/>
      <c r="Y97" s="6"/>
      <c r="Z97" s="6"/>
    </row>
    <row r="98" customFormat="false" ht="15.75" hidden="false" customHeight="false" outlineLevel="0" collapsed="false">
      <c r="A98" s="6"/>
      <c r="B98" s="6"/>
      <c r="C98" s="6"/>
      <c r="D98" s="6"/>
      <c r="E98" s="6"/>
      <c r="F98" s="6"/>
      <c r="G98" s="6"/>
      <c r="H98" s="6"/>
      <c r="I98" s="6"/>
      <c r="J98" s="6"/>
      <c r="K98" s="6"/>
      <c r="L98" s="6"/>
      <c r="M98" s="6"/>
      <c r="N98" s="6"/>
      <c r="O98" s="6"/>
      <c r="P98" s="6"/>
      <c r="Q98" s="6"/>
      <c r="R98" s="6"/>
      <c r="S98" s="6"/>
      <c r="T98" s="6"/>
      <c r="U98" s="6"/>
      <c r="V98" s="6"/>
      <c r="W98" s="6"/>
      <c r="X98" s="6"/>
      <c r="Y98" s="6"/>
      <c r="Z98" s="6"/>
    </row>
    <row r="99" customFormat="false" ht="15.75" hidden="false" customHeight="false" outlineLevel="0" collapsed="false">
      <c r="A99" s="6"/>
      <c r="B99" s="6"/>
      <c r="C99" s="6"/>
      <c r="D99" s="6"/>
      <c r="E99" s="6"/>
      <c r="F99" s="6"/>
      <c r="G99" s="6"/>
      <c r="H99" s="6"/>
      <c r="I99" s="6"/>
      <c r="J99" s="6"/>
      <c r="K99" s="6"/>
      <c r="L99" s="6"/>
      <c r="M99" s="6"/>
      <c r="N99" s="6"/>
      <c r="O99" s="6"/>
      <c r="P99" s="6"/>
      <c r="Q99" s="6"/>
      <c r="R99" s="6"/>
      <c r="S99" s="6"/>
      <c r="T99" s="6"/>
      <c r="U99" s="6"/>
      <c r="V99" s="6"/>
      <c r="W99" s="6"/>
      <c r="X99" s="6"/>
      <c r="Y99" s="6"/>
      <c r="Z99" s="6"/>
    </row>
    <row r="100" customFormat="false" ht="15.75" hidden="false" customHeight="false" outlineLevel="0" collapsed="false">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ustomFormat="false" ht="15.75" hidden="false" customHeight="false" outlineLevel="0" collapsed="false">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ustomFormat="false" ht="15.75" hidden="false" customHeight="false" outlineLevel="0" collapsed="false">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ustomFormat="false" ht="15.75" hidden="false" customHeight="false" outlineLevel="0" collapsed="false">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ustomFormat="false" ht="15.75" hidden="false" customHeight="false" outlineLevel="0" collapsed="false">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ustomFormat="false" ht="15.75" hidden="false" customHeight="false" outlineLevel="0" collapsed="false">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ustomFormat="false" ht="15.75" hidden="false" customHeight="false" outlineLevel="0" collapsed="false">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ustomFormat="false" ht="15.75" hidden="false" customHeight="false" outlineLevel="0" collapsed="false">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ustomFormat="false" ht="15.75" hidden="false" customHeight="false" outlineLevel="0" collapsed="false">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ustomFormat="false" ht="15.75" hidden="false" customHeight="false" outlineLevel="0" collapsed="false">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ustomFormat="false" ht="15.75" hidden="false" customHeight="false" outlineLevel="0" collapsed="false">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ustomFormat="false" ht="15.75" hidden="false" customHeight="false" outlineLevel="0" collapsed="false">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ustomFormat="false" ht="15.75" hidden="false" customHeight="false" outlineLevel="0" collapsed="false">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ustomFormat="false" ht="15.75" hidden="false" customHeight="false" outlineLevel="0" collapsed="false">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ustomFormat="false" ht="15.75" hidden="false" customHeight="false" outlineLevel="0" collapsed="false">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ustomFormat="false" ht="15.75" hidden="false" customHeight="false" outlineLevel="0" collapsed="false">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ustomFormat="false" ht="15.75" hidden="false" customHeight="false" outlineLevel="0" collapsed="false">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ustomFormat="false" ht="15.75" hidden="false" customHeight="false" outlineLevel="0" collapsed="false">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ustomFormat="false" ht="15.75" hidden="false" customHeight="false" outlineLevel="0" collapsed="false">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ustomFormat="false" ht="15.75" hidden="false" customHeight="false" outlineLevel="0" collapsed="false">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ustomFormat="false" ht="15.75" hidden="false" customHeight="false" outlineLevel="0" collapsed="false">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ustomFormat="false" ht="15.75" hidden="false" customHeight="false" outlineLevel="0" collapsed="false">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ustomFormat="false" ht="15.75" hidden="false" customHeight="false" outlineLevel="0" collapsed="false">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ustomFormat="false" ht="15.75" hidden="false" customHeight="false" outlineLevel="0" collapsed="false">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ustomFormat="false" ht="15.75" hidden="false" customHeight="false" outlineLevel="0" collapsed="false">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ustomFormat="false" ht="15.75" hidden="false" customHeight="false" outlineLevel="0" collapsed="false">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ustomFormat="false" ht="15.75" hidden="false" customHeight="false" outlineLevel="0" collapsed="false">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ustomFormat="false" ht="15.75" hidden="false" customHeight="false" outlineLevel="0" collapsed="false">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ustomFormat="false" ht="15.75" hidden="false" customHeight="false" outlineLevel="0" collapsed="false">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ustomFormat="false" ht="15.75" hidden="false" customHeight="false" outlineLevel="0" collapsed="false">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ustomFormat="false" ht="15.75" hidden="false" customHeight="false" outlineLevel="0" collapsed="false">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ustomFormat="false" ht="15.75" hidden="false" customHeight="false" outlineLevel="0" collapsed="false">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ustomFormat="false" ht="15.75" hidden="false" customHeight="false" outlineLevel="0" collapsed="false">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ustomFormat="false" ht="15.75" hidden="false" customHeight="false" outlineLevel="0" collapsed="false">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ustomFormat="false" ht="15.75" hidden="false" customHeight="false" outlineLevel="0" collapsed="false">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ustomFormat="false" ht="15.75" hidden="false" customHeight="false" outlineLevel="0" collapsed="false">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ustomFormat="false" ht="15.75" hidden="false" customHeight="false" outlineLevel="0" collapsed="false">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ustomFormat="false" ht="15.75" hidden="false" customHeight="false" outlineLevel="0" collapsed="false">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ustomFormat="false" ht="15.75" hidden="false" customHeight="false" outlineLevel="0" collapsed="false">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ustomFormat="false" ht="15.75" hidden="false" customHeight="false" outlineLevel="0" collapsed="false">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ustomFormat="false" ht="15.75" hidden="false" customHeight="false" outlineLevel="0" collapsed="false">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ustomFormat="false" ht="15.75" hidden="false" customHeight="false" outlineLevel="0" collapsed="false">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ustomFormat="false" ht="15.75" hidden="false" customHeight="false" outlineLevel="0" collapsed="false">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ustomFormat="false" ht="15.75" hidden="false" customHeight="false" outlineLevel="0" collapsed="false">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ustomFormat="false" ht="15.75" hidden="false" customHeight="false" outlineLevel="0" collapsed="false">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ustomFormat="false" ht="15.75" hidden="false" customHeight="false" outlineLevel="0" collapsed="false">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ustomFormat="false" ht="15.75" hidden="false" customHeight="false" outlineLevel="0" collapsed="false">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ustomFormat="false" ht="15.75" hidden="false" customHeight="false" outlineLevel="0" collapsed="false">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ustomFormat="false" ht="15.75" hidden="false" customHeight="false" outlineLevel="0" collapsed="false">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ustomFormat="false" ht="15.75" hidden="false" customHeight="false" outlineLevel="0" collapsed="false">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ustomFormat="false" ht="15.75" hidden="false" customHeight="false" outlineLevel="0" collapsed="false">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ustomFormat="false" ht="15.75" hidden="false" customHeight="false" outlineLevel="0" collapsed="false">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ustomFormat="false" ht="15.75" hidden="false" customHeight="false" outlineLevel="0" collapsed="false">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ustomFormat="false" ht="15.75" hidden="false" customHeight="false" outlineLevel="0" collapsed="false">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ustomFormat="false" ht="15.75" hidden="false" customHeight="false" outlineLevel="0" collapsed="false">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ustomFormat="false" ht="15.75" hidden="false" customHeight="false" outlineLevel="0" collapsed="false">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ustomFormat="false" ht="15.75" hidden="false" customHeight="false" outlineLevel="0" collapsed="false">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ustomFormat="false" ht="15.75" hidden="false" customHeight="false" outlineLevel="0" collapsed="false">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ustomFormat="false" ht="15.75" hidden="false" customHeight="false" outlineLevel="0" collapsed="false">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ustomFormat="false" ht="15.75" hidden="false" customHeight="false" outlineLevel="0" collapsed="false">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ustomFormat="false" ht="15.75" hidden="false" customHeight="false" outlineLevel="0" collapsed="false">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ustomFormat="false" ht="15.75" hidden="false" customHeight="false" outlineLevel="0" collapsed="false">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ustomFormat="false" ht="15.75" hidden="false" customHeight="false" outlineLevel="0" collapsed="false">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ustomFormat="false" ht="15.75" hidden="false" customHeight="false" outlineLevel="0" collapsed="false">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ustomFormat="false" ht="15.75" hidden="false" customHeight="false" outlineLevel="0" collapsed="false">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ustomFormat="false" ht="15.75" hidden="false" customHeight="false" outlineLevel="0" collapsed="false">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ustomFormat="false" ht="15.75" hidden="false" customHeight="false" outlineLevel="0" collapsed="false">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ustomFormat="false" ht="15.75" hidden="false" customHeight="false" outlineLevel="0" collapsed="false">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ustomFormat="false" ht="15.75" hidden="false" customHeight="false" outlineLevel="0" collapsed="false">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ustomFormat="false" ht="15.75" hidden="false" customHeight="false" outlineLevel="0" collapsed="false">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ustomFormat="false" ht="15.75" hidden="false" customHeight="false" outlineLevel="0" collapsed="false">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ustomFormat="false" ht="15.75" hidden="false" customHeight="false" outlineLevel="0" collapsed="false">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ustomFormat="false" ht="15.75" hidden="false" customHeight="false" outlineLevel="0" collapsed="false">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ustomFormat="false" ht="15.75" hidden="false" customHeight="false" outlineLevel="0" collapsed="false">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ustomFormat="false" ht="15.75" hidden="false" customHeight="false" outlineLevel="0" collapsed="false">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ustomFormat="false" ht="15.75" hidden="false" customHeight="false" outlineLevel="0" collapsed="false">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ustomFormat="false" ht="15.75" hidden="false" customHeight="false" outlineLevel="0" collapsed="false">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ustomFormat="false" ht="15.75" hidden="false" customHeight="false" outlineLevel="0" collapsed="false">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ustomFormat="false" ht="15.75" hidden="false" customHeight="false" outlineLevel="0" collapsed="false">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ustomFormat="false" ht="15.75" hidden="false" customHeight="false" outlineLevel="0" collapsed="false">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ustomFormat="false" ht="15.75" hidden="false" customHeight="false" outlineLevel="0" collapsed="false">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ustomFormat="false" ht="15.75" hidden="false" customHeight="false" outlineLevel="0" collapsed="false">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ustomFormat="false" ht="15.75" hidden="false" customHeight="false" outlineLevel="0" collapsed="false">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ustomFormat="false" ht="15.75" hidden="false" customHeight="false" outlineLevel="0" collapsed="false">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ustomFormat="false" ht="15.75" hidden="false" customHeight="false" outlineLevel="0" collapsed="false">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ustomFormat="false" ht="15.75" hidden="false" customHeight="false" outlineLevel="0" collapsed="false">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ustomFormat="false" ht="15.75" hidden="false" customHeight="false" outlineLevel="0" collapsed="false">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ustomFormat="false" ht="15.75" hidden="false" customHeight="false" outlineLevel="0" collapsed="false">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ustomFormat="false" ht="15.75" hidden="false" customHeight="false" outlineLevel="0" collapsed="false">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ustomFormat="false" ht="15.75" hidden="false" customHeight="false" outlineLevel="0" collapsed="false">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ustomFormat="false" ht="15.75" hidden="false" customHeight="false" outlineLevel="0" collapsed="false">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ustomFormat="false" ht="15.75" hidden="false" customHeight="false" outlineLevel="0" collapsed="false">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ustomFormat="false" ht="15.75" hidden="false" customHeight="false" outlineLevel="0" collapsed="false">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ustomFormat="false" ht="15.75" hidden="false" customHeight="false" outlineLevel="0" collapsed="false">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ustomFormat="false" ht="15.75" hidden="false" customHeight="false" outlineLevel="0" collapsed="false">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ustomFormat="false" ht="15.75" hidden="false" customHeight="false" outlineLevel="0" collapsed="false">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ustomFormat="false" ht="15.75" hidden="false" customHeight="false" outlineLevel="0" collapsed="false">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ustomFormat="false" ht="15.75" hidden="false" customHeight="false" outlineLevel="0" collapsed="false">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ustomFormat="false" ht="15.75" hidden="false" customHeight="false" outlineLevel="0" collapsed="false">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ustomFormat="false" ht="15.75" hidden="false" customHeight="false" outlineLevel="0" collapsed="false">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ustomFormat="false" ht="15.75" hidden="false" customHeight="false" outlineLevel="0" collapsed="false">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ustomFormat="false" ht="15.75" hidden="false" customHeight="false" outlineLevel="0" collapsed="false">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ustomFormat="false" ht="15.75" hidden="false" customHeight="false" outlineLevel="0" collapsed="false">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ustomFormat="false" ht="15.75" hidden="false" customHeight="false" outlineLevel="0" collapsed="false">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ustomFormat="false" ht="15.75" hidden="false" customHeight="false" outlineLevel="0" collapsed="false">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ustomFormat="false" ht="15.75" hidden="false" customHeight="false" outlineLevel="0" collapsed="false">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ustomFormat="false" ht="15.75" hidden="false" customHeight="false" outlineLevel="0" collapsed="false">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ustomFormat="false" ht="15.75" hidden="false" customHeight="false" outlineLevel="0" collapsed="false">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ustomFormat="false" ht="15.75" hidden="false" customHeight="false" outlineLevel="0" collapsed="false">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ustomFormat="false" ht="15.75" hidden="false" customHeight="false" outlineLevel="0" collapsed="false">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ustomFormat="false" ht="15.75" hidden="false" customHeight="false" outlineLevel="0" collapsed="false">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ustomFormat="false" ht="15.75" hidden="false" customHeight="false" outlineLevel="0" collapsed="false">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ustomFormat="false" ht="15.75" hidden="false" customHeight="false" outlineLevel="0" collapsed="false">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ustomFormat="false" ht="15.75" hidden="false" customHeight="false" outlineLevel="0" collapsed="false">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ustomFormat="false" ht="15.75" hidden="false" customHeight="false" outlineLevel="0" collapsed="false">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ustomFormat="false" ht="15.75" hidden="false" customHeight="false" outlineLevel="0" collapsed="false">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ustomFormat="false" ht="15.75" hidden="false" customHeight="false" outlineLevel="0" collapsed="false">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ustomFormat="false" ht="15.75" hidden="false" customHeight="false" outlineLevel="0" collapsed="false">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ustomFormat="false" ht="15.75" hidden="false" customHeight="false" outlineLevel="0" collapsed="false">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ustomFormat="false" ht="15.75" hidden="false" customHeight="false" outlineLevel="0" collapsed="false">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ustomFormat="false" ht="15.75" hidden="false" customHeight="false" outlineLevel="0" collapsed="false">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ustomFormat="false" ht="15.75" hidden="false" customHeight="false" outlineLevel="0" collapsed="false">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ustomFormat="false" ht="15.75" hidden="false" customHeight="false" outlineLevel="0" collapsed="false">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ustomFormat="false" ht="15.75" hidden="false" customHeight="false" outlineLevel="0" collapsed="false">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ustomFormat="false" ht="15.75" hidden="false" customHeight="false" outlineLevel="0" collapsed="false">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ustomFormat="false" ht="15.75" hidden="false" customHeight="false" outlineLevel="0" collapsed="false">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ustomFormat="false" ht="15.75" hidden="false" customHeight="false" outlineLevel="0" collapsed="false">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ustomFormat="false" ht="15.75" hidden="false" customHeight="false" outlineLevel="0" collapsed="false">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ustomFormat="false" ht="15.75" hidden="false" customHeight="false" outlineLevel="0" collapsed="false">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ustomFormat="false" ht="15.75" hidden="false" customHeight="false" outlineLevel="0" collapsed="false">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ustomFormat="false" ht="15.75" hidden="false" customHeight="false" outlineLevel="0" collapsed="false">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ustomFormat="false" ht="15.75" hidden="false" customHeight="false" outlineLevel="0" collapsed="false">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ustomFormat="false" ht="15.75" hidden="false" customHeight="false" outlineLevel="0" collapsed="false">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ustomFormat="false" ht="15.75" hidden="false" customHeight="false" outlineLevel="0" collapsed="false">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ustomFormat="false" ht="15.75" hidden="false" customHeight="false" outlineLevel="0" collapsed="false">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ustomFormat="false" ht="15.75" hidden="false" customHeight="false" outlineLevel="0" collapsed="false">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ustomFormat="false" ht="15.75" hidden="false" customHeight="false" outlineLevel="0" collapsed="false">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ustomFormat="false" ht="15.75" hidden="false" customHeight="false" outlineLevel="0" collapsed="false">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ustomFormat="false" ht="15.75" hidden="false" customHeight="false" outlineLevel="0" collapsed="false">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ustomFormat="false" ht="15.75" hidden="false" customHeight="false" outlineLevel="0" collapsed="false">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ustomFormat="false" ht="15.75" hidden="false" customHeight="false" outlineLevel="0" collapsed="false">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ustomFormat="false" ht="15.75" hidden="false" customHeight="false" outlineLevel="0" collapsed="false">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ustomFormat="false" ht="15.75" hidden="false" customHeight="false" outlineLevel="0" collapsed="false">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ustomFormat="false" ht="15.75" hidden="false" customHeight="false" outlineLevel="0" collapsed="false">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ustomFormat="false" ht="15.75" hidden="false" customHeight="false" outlineLevel="0" collapsed="false">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ustomFormat="false" ht="15.75" hidden="false" customHeight="false" outlineLevel="0" collapsed="false">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ustomFormat="false" ht="15.75" hidden="false" customHeight="false" outlineLevel="0" collapsed="false">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ustomFormat="false" ht="15.75" hidden="false" customHeight="false" outlineLevel="0" collapsed="false">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ustomFormat="false" ht="15.75" hidden="false" customHeight="false" outlineLevel="0" collapsed="false">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ustomFormat="false" ht="15.75" hidden="false" customHeight="false" outlineLevel="0" collapsed="false">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ustomFormat="false" ht="15.75" hidden="false" customHeight="false" outlineLevel="0" collapsed="false">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ustomFormat="false" ht="15.75" hidden="false" customHeight="false" outlineLevel="0" collapsed="false">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ustomFormat="false" ht="15.75" hidden="false" customHeight="false" outlineLevel="0" collapsed="false">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ustomFormat="false" ht="15.75" hidden="false" customHeight="false" outlineLevel="0" collapsed="false">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ustomFormat="false" ht="15.75" hidden="false" customHeight="false" outlineLevel="0" collapsed="false">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ustomFormat="false" ht="15.75" hidden="false" customHeight="false" outlineLevel="0" collapsed="false">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ustomFormat="false" ht="15.75" hidden="false" customHeight="false" outlineLevel="0" collapsed="false">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ustomFormat="false" ht="15.75" hidden="false" customHeight="false" outlineLevel="0" collapsed="false">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ustomFormat="false" ht="15.75" hidden="false" customHeight="false" outlineLevel="0" collapsed="false">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ustomFormat="false" ht="15.75" hidden="false" customHeight="false" outlineLevel="0" collapsed="false">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ustomFormat="false" ht="15.75" hidden="false" customHeight="false" outlineLevel="0" collapsed="false">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ustomFormat="false" ht="15.75" hidden="false" customHeight="false" outlineLevel="0" collapsed="false">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ustomFormat="false" ht="15.75" hidden="false" customHeight="false" outlineLevel="0" collapsed="false">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ustomFormat="false" ht="15.75" hidden="false" customHeight="false" outlineLevel="0" collapsed="false">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ustomFormat="false" ht="15.75" hidden="false" customHeight="false" outlineLevel="0" collapsed="false">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ustomFormat="false" ht="15.75" hidden="false" customHeight="false" outlineLevel="0" collapsed="false">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ustomFormat="false" ht="15.75" hidden="false" customHeight="false" outlineLevel="0" collapsed="false">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ustomFormat="false" ht="15.75" hidden="false" customHeight="false" outlineLevel="0" collapsed="false">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ustomFormat="false" ht="15.75" hidden="false" customHeight="false" outlineLevel="0" collapsed="false">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ustomFormat="false" ht="15.75" hidden="false" customHeight="false" outlineLevel="0" collapsed="false">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ustomFormat="false" ht="15.75" hidden="false" customHeight="false" outlineLevel="0" collapsed="false">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ustomFormat="false" ht="15.75" hidden="false" customHeight="false" outlineLevel="0" collapsed="false">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ustomFormat="false" ht="15.75" hidden="false" customHeight="false" outlineLevel="0" collapsed="false">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ustomFormat="false" ht="15.75" hidden="false" customHeight="false" outlineLevel="0" collapsed="false">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ustomFormat="false" ht="15.75" hidden="false" customHeight="false" outlineLevel="0" collapsed="false">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ustomFormat="false" ht="15.75" hidden="false" customHeight="false" outlineLevel="0" collapsed="false">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ustomFormat="false" ht="15.75" hidden="false" customHeight="false" outlineLevel="0" collapsed="false">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ustomFormat="false" ht="15.75" hidden="false" customHeight="false" outlineLevel="0" collapsed="false">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ustomFormat="false" ht="15.75" hidden="false" customHeight="false" outlineLevel="0" collapsed="false">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ustomFormat="false" ht="15.75" hidden="false" customHeight="false" outlineLevel="0" collapsed="false">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ustomFormat="false" ht="15.75" hidden="false" customHeight="false" outlineLevel="0" collapsed="false">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ustomFormat="false" ht="15.75" hidden="false" customHeight="false" outlineLevel="0" collapsed="false">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ustomFormat="false" ht="15.75" hidden="false" customHeight="false" outlineLevel="0" collapsed="false">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ustomFormat="false" ht="15.75" hidden="false" customHeight="false" outlineLevel="0" collapsed="false">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ustomFormat="false" ht="15.75" hidden="false" customHeight="false" outlineLevel="0" collapsed="false">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ustomFormat="false" ht="15.75" hidden="false" customHeight="false" outlineLevel="0" collapsed="false">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ustomFormat="false" ht="15.75" hidden="false" customHeight="false" outlineLevel="0" collapsed="false">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ustomFormat="false" ht="15.75" hidden="false" customHeight="false" outlineLevel="0" collapsed="false">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ustomFormat="false" ht="15.75" hidden="false" customHeight="false" outlineLevel="0" collapsed="false">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ustomFormat="false" ht="15.75" hidden="false" customHeight="false" outlineLevel="0" collapsed="false">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ustomFormat="false" ht="15.75" hidden="false" customHeight="false" outlineLevel="0" collapsed="false">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ustomFormat="false" ht="15.75" hidden="false" customHeight="false" outlineLevel="0" collapsed="false">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ustomFormat="false" ht="15.75" hidden="false" customHeight="false" outlineLevel="0" collapsed="false">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ustomFormat="false" ht="15.75" hidden="false" customHeight="false" outlineLevel="0" collapsed="false">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ustomFormat="false" ht="15.75" hidden="false" customHeight="false" outlineLevel="0" collapsed="false">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ustomFormat="false" ht="15.75" hidden="false" customHeight="false" outlineLevel="0" collapsed="false">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ustomFormat="false" ht="15.75" hidden="false" customHeight="false" outlineLevel="0" collapsed="false">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ustomFormat="false" ht="15.75" hidden="false" customHeight="false" outlineLevel="0" collapsed="false">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ustomFormat="false" ht="15.75" hidden="false" customHeight="false" outlineLevel="0" collapsed="false">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ustomFormat="false" ht="15.75" hidden="false" customHeight="false" outlineLevel="0" collapsed="false">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ustomFormat="false" ht="15.75" hidden="false" customHeight="false" outlineLevel="0" collapsed="false">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ustomFormat="false" ht="15.75" hidden="false" customHeight="false" outlineLevel="0" collapsed="false">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ustomFormat="false" ht="15.75" hidden="false" customHeight="false" outlineLevel="0" collapsed="false">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ustomFormat="false" ht="15.75" hidden="false" customHeight="false" outlineLevel="0" collapsed="false">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ustomFormat="false" ht="15.75" hidden="false" customHeight="false" outlineLevel="0" collapsed="false">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ustomFormat="false" ht="15.75" hidden="false" customHeight="false" outlineLevel="0" collapsed="false">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ustomFormat="false" ht="15.75" hidden="false" customHeight="false" outlineLevel="0" collapsed="false">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ustomFormat="false" ht="15.75" hidden="false" customHeight="false" outlineLevel="0" collapsed="false">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ustomFormat="false" ht="15.75" hidden="false" customHeight="false" outlineLevel="0" collapsed="false">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ustomFormat="false" ht="15.75" hidden="false" customHeight="false" outlineLevel="0" collapsed="false">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ustomFormat="false" ht="15.75" hidden="false" customHeight="false" outlineLevel="0" collapsed="false">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ustomFormat="false" ht="15.75" hidden="false" customHeight="false" outlineLevel="0" collapsed="false">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ustomFormat="false" ht="15.75" hidden="false" customHeight="false" outlineLevel="0" collapsed="false">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ustomFormat="false" ht="15.75" hidden="false" customHeight="false" outlineLevel="0" collapsed="false">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ustomFormat="false" ht="15.75" hidden="false" customHeight="false" outlineLevel="0" collapsed="false">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ustomFormat="false" ht="15.75" hidden="false" customHeight="false" outlineLevel="0" collapsed="false">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ustomFormat="false" ht="15.75" hidden="false" customHeight="false" outlineLevel="0" collapsed="false">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ustomFormat="false" ht="15.75" hidden="false" customHeight="false" outlineLevel="0" collapsed="false">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ustomFormat="false" ht="15.75" hidden="false" customHeight="false" outlineLevel="0" collapsed="false">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ustomFormat="false" ht="15.75" hidden="false" customHeight="false" outlineLevel="0" collapsed="false">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ustomFormat="false" ht="15.75" hidden="false" customHeight="false" outlineLevel="0" collapsed="false">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ustomFormat="false" ht="15.75" hidden="false" customHeight="false" outlineLevel="0" collapsed="false">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ustomFormat="false" ht="15.75" hidden="false" customHeight="false" outlineLevel="0" collapsed="false">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ustomFormat="false" ht="15.75" hidden="false" customHeight="false" outlineLevel="0" collapsed="false">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ustomFormat="false" ht="15.75" hidden="false" customHeight="false" outlineLevel="0" collapsed="false">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ustomFormat="false" ht="15.75" hidden="false" customHeight="false" outlineLevel="0" collapsed="false">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ustomFormat="false" ht="15.75" hidden="false" customHeight="false" outlineLevel="0" collapsed="false">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ustomFormat="false" ht="15.75" hidden="false" customHeight="false" outlineLevel="0" collapsed="false">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ustomFormat="false" ht="15.75" hidden="false" customHeight="false" outlineLevel="0" collapsed="false">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ustomFormat="false" ht="15.75" hidden="false" customHeight="false" outlineLevel="0" collapsed="false">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ustomFormat="false" ht="15.75" hidden="false" customHeight="false" outlineLevel="0" collapsed="false">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ustomFormat="false" ht="15.75" hidden="false" customHeight="false" outlineLevel="0" collapsed="false">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ustomFormat="false" ht="15.75" hidden="false" customHeight="false" outlineLevel="0" collapsed="false">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ustomFormat="false" ht="15.75" hidden="false" customHeight="false" outlineLevel="0" collapsed="false">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ustomFormat="false" ht="15.75" hidden="false" customHeight="false" outlineLevel="0" collapsed="false">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ustomFormat="false" ht="15.75" hidden="false" customHeight="false" outlineLevel="0" collapsed="false">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ustomFormat="false" ht="15.75" hidden="false" customHeight="false" outlineLevel="0" collapsed="false">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ustomFormat="false" ht="15.75" hidden="false" customHeight="false" outlineLevel="0" collapsed="false">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ustomFormat="false" ht="15.75" hidden="false" customHeight="false" outlineLevel="0" collapsed="false">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ustomFormat="false" ht="15.75" hidden="false" customHeight="false" outlineLevel="0" collapsed="false">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ustomFormat="false" ht="15.75" hidden="false" customHeight="false" outlineLevel="0" collapsed="false">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ustomFormat="false" ht="15.75" hidden="false" customHeight="false" outlineLevel="0" collapsed="false">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ustomFormat="false" ht="15.75" hidden="false" customHeight="false" outlineLevel="0" collapsed="false">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ustomFormat="false" ht="15.75" hidden="false" customHeight="false" outlineLevel="0" collapsed="false">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ustomFormat="false" ht="15.75" hidden="false" customHeight="false" outlineLevel="0" collapsed="false">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ustomFormat="false" ht="15.75" hidden="false" customHeight="false" outlineLevel="0" collapsed="false">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ustomFormat="false" ht="15.75" hidden="false" customHeight="false" outlineLevel="0" collapsed="false">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ustomFormat="false" ht="15.75" hidden="false" customHeight="false" outlineLevel="0" collapsed="false">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ustomFormat="false" ht="15.75" hidden="false" customHeight="false" outlineLevel="0" collapsed="false">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ustomFormat="false" ht="15.75" hidden="false" customHeight="false" outlineLevel="0" collapsed="false">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ustomFormat="false" ht="15.75" hidden="false" customHeight="false" outlineLevel="0" collapsed="false">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ustomFormat="false" ht="15.75" hidden="false" customHeight="false" outlineLevel="0" collapsed="false">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ustomFormat="false" ht="15.75" hidden="false" customHeight="false" outlineLevel="0" collapsed="false">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ustomFormat="false" ht="15.75" hidden="false" customHeight="false" outlineLevel="0" collapsed="false">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ustomFormat="false" ht="15.75" hidden="false" customHeight="false" outlineLevel="0" collapsed="false">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ustomFormat="false" ht="15.75" hidden="false" customHeight="false" outlineLevel="0" collapsed="false">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ustomFormat="false" ht="15.75" hidden="false" customHeight="false" outlineLevel="0" collapsed="false">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ustomFormat="false" ht="15.75" hidden="false" customHeight="false" outlineLevel="0" collapsed="false">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ustomFormat="false" ht="15.75" hidden="false" customHeight="false" outlineLevel="0" collapsed="false">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ustomFormat="false" ht="15.75" hidden="false" customHeight="false" outlineLevel="0" collapsed="false">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ustomFormat="false" ht="15.75" hidden="false" customHeight="false" outlineLevel="0" collapsed="false">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ustomFormat="false" ht="15.75" hidden="false" customHeight="false" outlineLevel="0" collapsed="false">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ustomFormat="false" ht="15.75" hidden="false" customHeight="false" outlineLevel="0" collapsed="false">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ustomFormat="false" ht="15.75" hidden="false" customHeight="false" outlineLevel="0" collapsed="false">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ustomFormat="false" ht="15.75" hidden="false" customHeight="false" outlineLevel="0" collapsed="false">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ustomFormat="false" ht="15.75" hidden="false" customHeight="false" outlineLevel="0" collapsed="false">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ustomFormat="false" ht="15.75" hidden="false" customHeight="false" outlineLevel="0" collapsed="false">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ustomFormat="false" ht="15.75" hidden="false" customHeight="false" outlineLevel="0" collapsed="false">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ustomFormat="false" ht="15.75" hidden="false" customHeight="false" outlineLevel="0" collapsed="false">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ustomFormat="false" ht="15.75" hidden="false" customHeight="false" outlineLevel="0" collapsed="false">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ustomFormat="false" ht="15.75" hidden="false" customHeight="false" outlineLevel="0" collapsed="false">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ustomFormat="false" ht="15.75" hidden="false" customHeight="false" outlineLevel="0" collapsed="false">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ustomFormat="false" ht="15.75" hidden="false" customHeight="false" outlineLevel="0" collapsed="false">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ustomFormat="false" ht="15.75" hidden="false" customHeight="false" outlineLevel="0" collapsed="false">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ustomFormat="false" ht="15.75" hidden="false" customHeight="false" outlineLevel="0" collapsed="false">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ustomFormat="false" ht="15.75" hidden="false" customHeight="false" outlineLevel="0" collapsed="false">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ustomFormat="false" ht="15.75" hidden="false" customHeight="false" outlineLevel="0" collapsed="false">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ustomFormat="false" ht="15.75" hidden="false" customHeight="false" outlineLevel="0" collapsed="false">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ustomFormat="false" ht="15.75" hidden="false" customHeight="false" outlineLevel="0" collapsed="false">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ustomFormat="false" ht="15.75" hidden="false" customHeight="false" outlineLevel="0" collapsed="false">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ustomFormat="false" ht="15.75" hidden="false" customHeight="false" outlineLevel="0" collapsed="false">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ustomFormat="false" ht="15.75" hidden="false" customHeight="false" outlineLevel="0" collapsed="false">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ustomFormat="false" ht="15.75" hidden="false" customHeight="false" outlineLevel="0" collapsed="false">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ustomFormat="false" ht="15.75" hidden="false" customHeight="false" outlineLevel="0" collapsed="false">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ustomFormat="false" ht="15.75" hidden="false" customHeight="false" outlineLevel="0" collapsed="false">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ustomFormat="false" ht="15.75" hidden="false" customHeight="false" outlineLevel="0" collapsed="false">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ustomFormat="false" ht="15.75" hidden="false" customHeight="false" outlineLevel="0" collapsed="false">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ustomFormat="false" ht="15.75" hidden="false" customHeight="false" outlineLevel="0" collapsed="false">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ustomFormat="false" ht="15.75" hidden="false" customHeight="false" outlineLevel="0" collapsed="false">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ustomFormat="false" ht="15.75" hidden="false" customHeight="false" outlineLevel="0" collapsed="false">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ustomFormat="false" ht="15.75" hidden="false" customHeight="false" outlineLevel="0" collapsed="false">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ustomFormat="false" ht="15.75" hidden="false" customHeight="false" outlineLevel="0" collapsed="false">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ustomFormat="false" ht="15.75" hidden="false" customHeight="false" outlineLevel="0" collapsed="false">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ustomFormat="false" ht="15.75" hidden="false" customHeight="false" outlineLevel="0" collapsed="false">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ustomFormat="false" ht="15.75" hidden="false" customHeight="false" outlineLevel="0" collapsed="false">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ustomFormat="false" ht="15.75" hidden="false" customHeight="false" outlineLevel="0" collapsed="false">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ustomFormat="false" ht="15.75" hidden="false" customHeight="false" outlineLevel="0" collapsed="false">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ustomFormat="false" ht="15.75" hidden="false" customHeight="false" outlineLevel="0" collapsed="false">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ustomFormat="false" ht="15.75" hidden="false" customHeight="false" outlineLevel="0" collapsed="false">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ustomFormat="false" ht="15.75" hidden="false" customHeight="false" outlineLevel="0" collapsed="false">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ustomFormat="false" ht="15.75" hidden="false" customHeight="false" outlineLevel="0" collapsed="false">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ustomFormat="false" ht="15.75" hidden="false" customHeight="false" outlineLevel="0" collapsed="false">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ustomFormat="false" ht="15.75" hidden="false" customHeight="false" outlineLevel="0" collapsed="false">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ustomFormat="false" ht="15.75" hidden="false" customHeight="false" outlineLevel="0" collapsed="false">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ustomFormat="false" ht="15.75" hidden="false" customHeight="false" outlineLevel="0" collapsed="false">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ustomFormat="false" ht="15.75" hidden="false" customHeight="false" outlineLevel="0" collapsed="false">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ustomFormat="false" ht="15.75" hidden="false" customHeight="false" outlineLevel="0" collapsed="false">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ustomFormat="false" ht="15.75" hidden="false" customHeight="false" outlineLevel="0" collapsed="false">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ustomFormat="false" ht="15.75" hidden="false" customHeight="false" outlineLevel="0" collapsed="false">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ustomFormat="false" ht="15.75" hidden="false" customHeight="false" outlineLevel="0" collapsed="false">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ustomFormat="false" ht="15.75" hidden="false" customHeight="false" outlineLevel="0" collapsed="false">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ustomFormat="false" ht="15.75" hidden="false" customHeight="false" outlineLevel="0" collapsed="false">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ustomFormat="false" ht="15.75" hidden="false" customHeight="false" outlineLevel="0" collapsed="false">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ustomFormat="false" ht="15.75" hidden="false" customHeight="false" outlineLevel="0" collapsed="false">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ustomFormat="false" ht="15.75" hidden="false" customHeight="false" outlineLevel="0" collapsed="false">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ustomFormat="false" ht="15.75" hidden="false" customHeight="false" outlineLevel="0" collapsed="false">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ustomFormat="false" ht="15.75" hidden="false" customHeight="false" outlineLevel="0" collapsed="false">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ustomFormat="false" ht="15.75" hidden="false" customHeight="false" outlineLevel="0" collapsed="false">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ustomFormat="false" ht="15.75" hidden="false" customHeight="false" outlineLevel="0" collapsed="false">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ustomFormat="false" ht="15.75" hidden="false" customHeight="false" outlineLevel="0" collapsed="false">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ustomFormat="false" ht="15.75" hidden="false" customHeight="false" outlineLevel="0" collapsed="false">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ustomFormat="false" ht="15.75" hidden="false" customHeight="false" outlineLevel="0" collapsed="false">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ustomFormat="false" ht="15.75" hidden="false" customHeight="false" outlineLevel="0" collapsed="false">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ustomFormat="false" ht="15.75" hidden="false" customHeight="false" outlineLevel="0" collapsed="false">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ustomFormat="false" ht="15.75" hidden="false" customHeight="false" outlineLevel="0" collapsed="false">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ustomFormat="false" ht="15.75" hidden="false" customHeight="false" outlineLevel="0" collapsed="false">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ustomFormat="false" ht="15.75" hidden="false" customHeight="false" outlineLevel="0" collapsed="false">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ustomFormat="false" ht="15.75" hidden="false" customHeight="false" outlineLevel="0" collapsed="false">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ustomFormat="false" ht="15.75" hidden="false" customHeight="false" outlineLevel="0" collapsed="false">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ustomFormat="false" ht="15.75" hidden="false" customHeight="false" outlineLevel="0" collapsed="false">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ustomFormat="false" ht="15.75" hidden="false" customHeight="false" outlineLevel="0" collapsed="false">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ustomFormat="false" ht="15.75" hidden="false" customHeight="false" outlineLevel="0" collapsed="false">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ustomFormat="false" ht="15.75" hidden="false" customHeight="false" outlineLevel="0" collapsed="false">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ustomFormat="false" ht="15.75" hidden="false" customHeight="false" outlineLevel="0" collapsed="false">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ustomFormat="false" ht="15.75" hidden="false" customHeight="false" outlineLevel="0" collapsed="false">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ustomFormat="false" ht="15.75" hidden="false" customHeight="false" outlineLevel="0" collapsed="false">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ustomFormat="false" ht="15.75" hidden="false" customHeight="false" outlineLevel="0" collapsed="false">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ustomFormat="false" ht="15.75" hidden="false" customHeight="false" outlineLevel="0" collapsed="false">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ustomFormat="false" ht="15.75" hidden="false" customHeight="false" outlineLevel="0" collapsed="false">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ustomFormat="false" ht="15.75" hidden="false" customHeight="false" outlineLevel="0" collapsed="false">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ustomFormat="false" ht="15.75" hidden="false" customHeight="false" outlineLevel="0" collapsed="false">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ustomFormat="false" ht="15.75" hidden="false" customHeight="false" outlineLevel="0" collapsed="false">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ustomFormat="false" ht="15.75" hidden="false" customHeight="false" outlineLevel="0" collapsed="false">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ustomFormat="false" ht="15.75" hidden="false" customHeight="false" outlineLevel="0" collapsed="false">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ustomFormat="false" ht="15.75" hidden="false" customHeight="false" outlineLevel="0" collapsed="false">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ustomFormat="false" ht="15.75" hidden="false" customHeight="false" outlineLevel="0" collapsed="false">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ustomFormat="false" ht="15.75" hidden="false" customHeight="false" outlineLevel="0" collapsed="false">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ustomFormat="false" ht="15.75" hidden="false" customHeight="false" outlineLevel="0" collapsed="false">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ustomFormat="false" ht="15.75" hidden="false" customHeight="false" outlineLevel="0" collapsed="false">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ustomFormat="false" ht="15.75" hidden="false" customHeight="false" outlineLevel="0" collapsed="false">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ustomFormat="false" ht="15.75" hidden="false" customHeight="false" outlineLevel="0" collapsed="false">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ustomFormat="false" ht="15.75" hidden="false" customHeight="false" outlineLevel="0" collapsed="false">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ustomFormat="false" ht="15.75" hidden="false" customHeight="false" outlineLevel="0" collapsed="false">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ustomFormat="false" ht="15.75" hidden="false" customHeight="false" outlineLevel="0" collapsed="false">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ustomFormat="false" ht="15.75" hidden="false" customHeight="false" outlineLevel="0" collapsed="false">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ustomFormat="false" ht="15.75" hidden="false" customHeight="false" outlineLevel="0" collapsed="false">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ustomFormat="false" ht="15.75" hidden="false" customHeight="false" outlineLevel="0" collapsed="false">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ustomFormat="false" ht="15.75" hidden="false" customHeight="false" outlineLevel="0" collapsed="false">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ustomFormat="false" ht="15.75" hidden="false" customHeight="false" outlineLevel="0" collapsed="false">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ustomFormat="false" ht="15.75" hidden="false" customHeight="false" outlineLevel="0" collapsed="false">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ustomFormat="false" ht="15.75" hidden="false" customHeight="false" outlineLevel="0" collapsed="false">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ustomFormat="false" ht="15.75" hidden="false" customHeight="false" outlineLevel="0" collapsed="false">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ustomFormat="false" ht="15.75" hidden="false" customHeight="false" outlineLevel="0" collapsed="false">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ustomFormat="false" ht="15.75" hidden="false" customHeight="false" outlineLevel="0" collapsed="false">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ustomFormat="false" ht="15.75" hidden="false" customHeight="false" outlineLevel="0" collapsed="false">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ustomFormat="false" ht="15.75" hidden="false" customHeight="false" outlineLevel="0" collapsed="false">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ustomFormat="false" ht="15.75" hidden="false" customHeight="false" outlineLevel="0" collapsed="false">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ustomFormat="false" ht="15.75" hidden="false" customHeight="false" outlineLevel="0" collapsed="false">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ustomFormat="false" ht="15.75" hidden="false" customHeight="false" outlineLevel="0" collapsed="false">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ustomFormat="false" ht="15.75" hidden="false" customHeight="false" outlineLevel="0" collapsed="false">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ustomFormat="false" ht="15.75" hidden="false" customHeight="false" outlineLevel="0" collapsed="false">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ustomFormat="false" ht="15.75" hidden="false" customHeight="false" outlineLevel="0" collapsed="false">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ustomFormat="false" ht="15.75" hidden="false" customHeight="false" outlineLevel="0" collapsed="false">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ustomFormat="false" ht="15.75" hidden="false" customHeight="false" outlineLevel="0" collapsed="false">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ustomFormat="false" ht="15.75" hidden="false" customHeight="false" outlineLevel="0" collapsed="false">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ustomFormat="false" ht="15.75" hidden="false" customHeight="false" outlineLevel="0" collapsed="false">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ustomFormat="false" ht="15.75" hidden="false" customHeight="false" outlineLevel="0" collapsed="false">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ustomFormat="false" ht="15.75" hidden="false" customHeight="false" outlineLevel="0" collapsed="false">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ustomFormat="false" ht="15.75" hidden="false" customHeight="false" outlineLevel="0" collapsed="false">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ustomFormat="false" ht="15.75" hidden="false" customHeight="false" outlineLevel="0" collapsed="false">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ustomFormat="false" ht="15.75" hidden="false" customHeight="false" outlineLevel="0" collapsed="false">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ustomFormat="false" ht="15.75" hidden="false" customHeight="false" outlineLevel="0" collapsed="false">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ustomFormat="false" ht="15.75" hidden="false" customHeight="false" outlineLevel="0" collapsed="false">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ustomFormat="false" ht="15.75" hidden="false" customHeight="false" outlineLevel="0" collapsed="false">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ustomFormat="false" ht="15.75" hidden="false" customHeight="false" outlineLevel="0" collapsed="false">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ustomFormat="false" ht="15.75" hidden="false" customHeight="false" outlineLevel="0" collapsed="false">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ustomFormat="false" ht="15.75" hidden="false" customHeight="false" outlineLevel="0" collapsed="false">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ustomFormat="false" ht="15.75" hidden="false" customHeight="false" outlineLevel="0" collapsed="false">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ustomFormat="false" ht="15.75" hidden="false" customHeight="false" outlineLevel="0" collapsed="false">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ustomFormat="false" ht="15.75" hidden="false" customHeight="false" outlineLevel="0" collapsed="false">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ustomFormat="false" ht="15.75" hidden="false" customHeight="false" outlineLevel="0" collapsed="false">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ustomFormat="false" ht="15.75" hidden="false" customHeight="false" outlineLevel="0" collapsed="false">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ustomFormat="false" ht="15.75" hidden="false" customHeight="false" outlineLevel="0" collapsed="false">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ustomFormat="false" ht="15.75" hidden="false" customHeight="false" outlineLevel="0" collapsed="false">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ustomFormat="false" ht="15.75" hidden="false" customHeight="false" outlineLevel="0" collapsed="false">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ustomFormat="false" ht="15.75" hidden="false" customHeight="false" outlineLevel="0" collapsed="false">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ustomFormat="false" ht="15.75" hidden="false" customHeight="false" outlineLevel="0" collapsed="false">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ustomFormat="false" ht="15.75" hidden="false" customHeight="false" outlineLevel="0" collapsed="false">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ustomFormat="false" ht="15.75" hidden="false" customHeight="false" outlineLevel="0" collapsed="false">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ustomFormat="false" ht="15.75" hidden="false" customHeight="false" outlineLevel="0" collapsed="false">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ustomFormat="false" ht="15.75" hidden="false" customHeight="false" outlineLevel="0" collapsed="false">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ustomFormat="false" ht="15.75" hidden="false" customHeight="false" outlineLevel="0" collapsed="false">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ustomFormat="false" ht="15.75" hidden="false" customHeight="false" outlineLevel="0" collapsed="false">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ustomFormat="false" ht="15.75" hidden="false" customHeight="false" outlineLevel="0" collapsed="false">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ustomFormat="false" ht="15.75" hidden="false" customHeight="false" outlineLevel="0" collapsed="false">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ustomFormat="false" ht="15.75" hidden="false" customHeight="false" outlineLevel="0" collapsed="false">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ustomFormat="false" ht="15.75" hidden="false" customHeight="false" outlineLevel="0" collapsed="false">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ustomFormat="false" ht="15.75" hidden="false" customHeight="false" outlineLevel="0" collapsed="false">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ustomFormat="false" ht="15.75" hidden="false" customHeight="false" outlineLevel="0" collapsed="false">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ustomFormat="false" ht="15.75" hidden="false" customHeight="false" outlineLevel="0" collapsed="false">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ustomFormat="false" ht="15.75" hidden="false" customHeight="false" outlineLevel="0" collapsed="false">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ustomFormat="false" ht="15.75" hidden="false" customHeight="false" outlineLevel="0" collapsed="false">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ustomFormat="false" ht="15.75" hidden="false" customHeight="false" outlineLevel="0" collapsed="false">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ustomFormat="false" ht="15.75" hidden="false" customHeight="false" outlineLevel="0" collapsed="false">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ustomFormat="false" ht="15.75" hidden="false" customHeight="false" outlineLevel="0" collapsed="false">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ustomFormat="false" ht="15.75" hidden="false" customHeight="false" outlineLevel="0" collapsed="false">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ustomFormat="false" ht="15.75" hidden="false" customHeight="false" outlineLevel="0" collapsed="false">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ustomFormat="false" ht="15.75" hidden="false" customHeight="false" outlineLevel="0" collapsed="false">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ustomFormat="false" ht="15.75" hidden="false" customHeight="false" outlineLevel="0" collapsed="false">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ustomFormat="false" ht="15.75" hidden="false" customHeight="false" outlineLevel="0" collapsed="false">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ustomFormat="false" ht="15.75" hidden="false" customHeight="false" outlineLevel="0" collapsed="false">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ustomFormat="false" ht="15.75" hidden="false" customHeight="false" outlineLevel="0" collapsed="false">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ustomFormat="false" ht="15.75" hidden="false" customHeight="false" outlineLevel="0" collapsed="false">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ustomFormat="false" ht="15.75" hidden="false" customHeight="false" outlineLevel="0" collapsed="false">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ustomFormat="false" ht="15.75" hidden="false" customHeight="false" outlineLevel="0" collapsed="false">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ustomFormat="false" ht="15.75" hidden="false" customHeight="false" outlineLevel="0" collapsed="false">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ustomFormat="false" ht="15.75" hidden="false" customHeight="false" outlineLevel="0" collapsed="false">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ustomFormat="false" ht="15.75" hidden="false" customHeight="false" outlineLevel="0" collapsed="false">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ustomFormat="false" ht="15.75" hidden="false" customHeight="false" outlineLevel="0" collapsed="false">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ustomFormat="false" ht="15.75" hidden="false" customHeight="false" outlineLevel="0" collapsed="false">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ustomFormat="false" ht="15.75" hidden="false" customHeight="false" outlineLevel="0" collapsed="false">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ustomFormat="false" ht="15.75" hidden="false" customHeight="false" outlineLevel="0" collapsed="false">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ustomFormat="false" ht="15.75" hidden="false" customHeight="false" outlineLevel="0" collapsed="false">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ustomFormat="false" ht="15.75" hidden="false" customHeight="false" outlineLevel="0" collapsed="false">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ustomFormat="false" ht="15.75" hidden="false" customHeight="false" outlineLevel="0" collapsed="false">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ustomFormat="false" ht="15.75" hidden="false" customHeight="false" outlineLevel="0" collapsed="false">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ustomFormat="false" ht="15.75" hidden="false" customHeight="false" outlineLevel="0" collapsed="false">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ustomFormat="false" ht="15.75" hidden="false" customHeight="false" outlineLevel="0" collapsed="false">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ustomFormat="false" ht="15.75" hidden="false" customHeight="false" outlineLevel="0" collapsed="false">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ustomFormat="false" ht="15.75" hidden="false" customHeight="false" outlineLevel="0" collapsed="false">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ustomFormat="false" ht="15.75" hidden="false" customHeight="false" outlineLevel="0" collapsed="false">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ustomFormat="false" ht="15.75" hidden="false" customHeight="false" outlineLevel="0" collapsed="false">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ustomFormat="false" ht="15.75" hidden="false" customHeight="false" outlineLevel="0" collapsed="false">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ustomFormat="false" ht="15.75" hidden="false" customHeight="false" outlineLevel="0" collapsed="false">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ustomFormat="false" ht="15.75" hidden="false" customHeight="false" outlineLevel="0" collapsed="false">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ustomFormat="false" ht="15.75" hidden="false" customHeight="false" outlineLevel="0" collapsed="false">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ustomFormat="false" ht="15.75" hidden="false" customHeight="false" outlineLevel="0" collapsed="false">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ustomFormat="false" ht="15.75" hidden="false" customHeight="false" outlineLevel="0" collapsed="false">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ustomFormat="false" ht="15.75" hidden="false" customHeight="false" outlineLevel="0" collapsed="false">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ustomFormat="false" ht="15.75" hidden="false" customHeight="false" outlineLevel="0" collapsed="false">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ustomFormat="false" ht="15.75" hidden="false" customHeight="false" outlineLevel="0" collapsed="false">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ustomFormat="false" ht="15.75" hidden="false" customHeight="false" outlineLevel="0" collapsed="false">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ustomFormat="false" ht="15.75" hidden="false" customHeight="false" outlineLevel="0" collapsed="false">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ustomFormat="false" ht="15.75" hidden="false" customHeight="false" outlineLevel="0" collapsed="false">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ustomFormat="false" ht="15.75" hidden="false" customHeight="false" outlineLevel="0" collapsed="false">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ustomFormat="false" ht="15.75" hidden="false" customHeight="false" outlineLevel="0" collapsed="false">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ustomFormat="false" ht="15.75" hidden="false" customHeight="false" outlineLevel="0" collapsed="false">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ustomFormat="false" ht="15.75" hidden="false" customHeight="false" outlineLevel="0" collapsed="false">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ustomFormat="false" ht="15.75" hidden="false" customHeight="false" outlineLevel="0" collapsed="false">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ustomFormat="false" ht="15.75" hidden="false" customHeight="false" outlineLevel="0" collapsed="false">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ustomFormat="false" ht="15.75" hidden="false" customHeight="false" outlineLevel="0" collapsed="false">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ustomFormat="false" ht="15.75" hidden="false" customHeight="false" outlineLevel="0" collapsed="false">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ustomFormat="false" ht="15.75" hidden="false" customHeight="false" outlineLevel="0" collapsed="false">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ustomFormat="false" ht="15.75" hidden="false" customHeight="false" outlineLevel="0" collapsed="false">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ustomFormat="false" ht="15.75" hidden="false" customHeight="false" outlineLevel="0" collapsed="false">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ustomFormat="false" ht="15.75" hidden="false" customHeight="false" outlineLevel="0" collapsed="false">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ustomFormat="false" ht="15.75" hidden="false" customHeight="false" outlineLevel="0" collapsed="false">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ustomFormat="false" ht="15.75" hidden="false" customHeight="false" outlineLevel="0" collapsed="false">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ustomFormat="false" ht="15.75" hidden="false" customHeight="false" outlineLevel="0" collapsed="false">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ustomFormat="false" ht="15.75" hidden="false" customHeight="false" outlineLevel="0" collapsed="false">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ustomFormat="false" ht="15.75" hidden="false" customHeight="false" outlineLevel="0" collapsed="false">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ustomFormat="false" ht="15.75" hidden="false" customHeight="false" outlineLevel="0" collapsed="false">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ustomFormat="false" ht="15.75" hidden="false" customHeight="false" outlineLevel="0" collapsed="false">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ustomFormat="false" ht="15.75" hidden="false" customHeight="false" outlineLevel="0" collapsed="false">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ustomFormat="false" ht="15.75" hidden="false" customHeight="false" outlineLevel="0" collapsed="false">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ustomFormat="false" ht="15.75" hidden="false" customHeight="false" outlineLevel="0" collapsed="false">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ustomFormat="false" ht="15.75" hidden="false" customHeight="false" outlineLevel="0" collapsed="false">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ustomFormat="false" ht="15.75" hidden="false" customHeight="false" outlineLevel="0" collapsed="false">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ustomFormat="false" ht="15.75" hidden="false" customHeight="false" outlineLevel="0" collapsed="false">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ustomFormat="false" ht="15.75" hidden="false" customHeight="false" outlineLevel="0" collapsed="false">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ustomFormat="false" ht="15.75" hidden="false" customHeight="false" outlineLevel="0" collapsed="false">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ustomFormat="false" ht="15.75" hidden="false" customHeight="false" outlineLevel="0" collapsed="false">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ustomFormat="false" ht="15.75" hidden="false" customHeight="false" outlineLevel="0" collapsed="false">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ustomFormat="false" ht="15.75" hidden="false" customHeight="false" outlineLevel="0" collapsed="false">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ustomFormat="false" ht="15.75" hidden="false" customHeight="false" outlineLevel="0" collapsed="false">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ustomFormat="false" ht="15.75" hidden="false" customHeight="false" outlineLevel="0" collapsed="false">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ustomFormat="false" ht="15.75" hidden="false" customHeight="false" outlineLevel="0" collapsed="false">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ustomFormat="false" ht="15.75" hidden="false" customHeight="false" outlineLevel="0" collapsed="false">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ustomFormat="false" ht="15.75" hidden="false" customHeight="false" outlineLevel="0" collapsed="false">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ustomFormat="false" ht="15.75" hidden="false" customHeight="false" outlineLevel="0" collapsed="false">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ustomFormat="false" ht="15.75" hidden="false" customHeight="false" outlineLevel="0" collapsed="false">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ustomFormat="false" ht="15.75" hidden="false" customHeight="false" outlineLevel="0" collapsed="false">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ustomFormat="false" ht="15.75" hidden="false" customHeight="false" outlineLevel="0" collapsed="false">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ustomFormat="false" ht="15.75" hidden="false" customHeight="false" outlineLevel="0" collapsed="false">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ustomFormat="false" ht="15.75" hidden="false" customHeight="false" outlineLevel="0" collapsed="false">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ustomFormat="false" ht="15.75" hidden="false" customHeight="false" outlineLevel="0" collapsed="false">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ustomFormat="false" ht="15.75" hidden="false" customHeight="false" outlineLevel="0" collapsed="false">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ustomFormat="false" ht="15.75" hidden="false" customHeight="false" outlineLevel="0" collapsed="false">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ustomFormat="false" ht="15.75" hidden="false" customHeight="false" outlineLevel="0" collapsed="false">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ustomFormat="false" ht="15.75" hidden="false" customHeight="false" outlineLevel="0" collapsed="false">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ustomFormat="false" ht="15.75" hidden="false" customHeight="false" outlineLevel="0" collapsed="false">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ustomFormat="false" ht="15.75" hidden="false" customHeight="false" outlineLevel="0" collapsed="false">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ustomFormat="false" ht="15.75" hidden="false" customHeight="false" outlineLevel="0" collapsed="false">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ustomFormat="false" ht="15.75" hidden="false" customHeight="false" outlineLevel="0" collapsed="false">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ustomFormat="false" ht="15.75" hidden="false" customHeight="false" outlineLevel="0" collapsed="false">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ustomFormat="false" ht="15.75" hidden="false" customHeight="false" outlineLevel="0" collapsed="false">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ustomFormat="false" ht="15.75" hidden="false" customHeight="false" outlineLevel="0" collapsed="false">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ustomFormat="false" ht="15.75" hidden="false" customHeight="false" outlineLevel="0" collapsed="false">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ustomFormat="false" ht="15.75" hidden="false" customHeight="false" outlineLevel="0" collapsed="false">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ustomFormat="false" ht="15.75" hidden="false" customHeight="false" outlineLevel="0" collapsed="false">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ustomFormat="false" ht="15.75" hidden="false" customHeight="false" outlineLevel="0" collapsed="false">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ustomFormat="false" ht="15.75" hidden="false" customHeight="false" outlineLevel="0" collapsed="false">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ustomFormat="false" ht="15.75" hidden="false" customHeight="false" outlineLevel="0" collapsed="false">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ustomFormat="false" ht="15.75" hidden="false" customHeight="false" outlineLevel="0" collapsed="false">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ustomFormat="false" ht="15.75" hidden="false" customHeight="false" outlineLevel="0" collapsed="false">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ustomFormat="false" ht="15.75" hidden="false" customHeight="false" outlineLevel="0" collapsed="false">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ustomFormat="false" ht="15.75" hidden="false" customHeight="false" outlineLevel="0" collapsed="false">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ustomFormat="false" ht="15.75" hidden="false" customHeight="false" outlineLevel="0" collapsed="false">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ustomFormat="false" ht="15.75" hidden="false" customHeight="false" outlineLevel="0" collapsed="false">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ustomFormat="false" ht="15.75" hidden="false" customHeight="false" outlineLevel="0" collapsed="false">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ustomFormat="false" ht="15.75" hidden="false" customHeight="false" outlineLevel="0" collapsed="false">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ustomFormat="false" ht="15.75" hidden="false" customHeight="false" outlineLevel="0" collapsed="false">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ustomFormat="false" ht="15.75" hidden="false" customHeight="false" outlineLevel="0" collapsed="false">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ustomFormat="false" ht="15.75" hidden="false" customHeight="false" outlineLevel="0" collapsed="false">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ustomFormat="false" ht="15.75" hidden="false" customHeight="false" outlineLevel="0" collapsed="false">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ustomFormat="false" ht="15.75" hidden="false" customHeight="false" outlineLevel="0" collapsed="false">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ustomFormat="false" ht="15.75" hidden="false" customHeight="false" outlineLevel="0" collapsed="false">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ustomFormat="false" ht="15.75" hidden="false" customHeight="false" outlineLevel="0" collapsed="false">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ustomFormat="false" ht="15.75" hidden="false" customHeight="false" outlineLevel="0" collapsed="false">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ustomFormat="false" ht="15.75" hidden="false" customHeight="false" outlineLevel="0" collapsed="false">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ustomFormat="false" ht="15.75" hidden="false" customHeight="false" outlineLevel="0" collapsed="false">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ustomFormat="false" ht="15.75" hidden="false" customHeight="false" outlineLevel="0" collapsed="false">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ustomFormat="false" ht="15.75" hidden="false" customHeight="false" outlineLevel="0" collapsed="false">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ustomFormat="false" ht="15.75" hidden="false" customHeight="false" outlineLevel="0" collapsed="false">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ustomFormat="false" ht="15.75" hidden="false" customHeight="false" outlineLevel="0" collapsed="false">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ustomFormat="false" ht="15.75" hidden="false" customHeight="false" outlineLevel="0" collapsed="false">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ustomFormat="false" ht="15.75" hidden="false" customHeight="false" outlineLevel="0" collapsed="false">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ustomFormat="false" ht="15.75" hidden="false" customHeight="false" outlineLevel="0" collapsed="false">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ustomFormat="false" ht="15.75" hidden="false" customHeight="false" outlineLevel="0" collapsed="false">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ustomFormat="false" ht="15.75" hidden="false" customHeight="false" outlineLevel="0" collapsed="false">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ustomFormat="false" ht="15.75" hidden="false" customHeight="false" outlineLevel="0" collapsed="false">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ustomFormat="false" ht="15.75" hidden="false" customHeight="false" outlineLevel="0" collapsed="false">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ustomFormat="false" ht="15.75" hidden="false" customHeight="false" outlineLevel="0" collapsed="false">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ustomFormat="false" ht="15.75" hidden="false" customHeight="false" outlineLevel="0" collapsed="false">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ustomFormat="false" ht="15.75" hidden="false" customHeight="false" outlineLevel="0" collapsed="false">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ustomFormat="false" ht="15.75" hidden="false" customHeight="false" outlineLevel="0" collapsed="false">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ustomFormat="false" ht="15.75" hidden="false" customHeight="false" outlineLevel="0" collapsed="false">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ustomFormat="false" ht="15.75" hidden="false" customHeight="false" outlineLevel="0" collapsed="false">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ustomFormat="false" ht="15.75" hidden="false" customHeight="false" outlineLevel="0" collapsed="false">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ustomFormat="false" ht="15.75" hidden="false" customHeight="false" outlineLevel="0" collapsed="false">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ustomFormat="false" ht="15.75" hidden="false" customHeight="false" outlineLevel="0" collapsed="false">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ustomFormat="false" ht="15.75" hidden="false" customHeight="false" outlineLevel="0" collapsed="false">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ustomFormat="false" ht="15.75" hidden="false" customHeight="false" outlineLevel="0" collapsed="false">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ustomFormat="false" ht="15.75" hidden="false" customHeight="false" outlineLevel="0" collapsed="false">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ustomFormat="false" ht="15.75" hidden="false" customHeight="false" outlineLevel="0" collapsed="false">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ustomFormat="false" ht="15.75" hidden="false" customHeight="false" outlineLevel="0" collapsed="false">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ustomFormat="false" ht="15.75" hidden="false" customHeight="false" outlineLevel="0" collapsed="false">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ustomFormat="false" ht="15.75" hidden="false" customHeight="false" outlineLevel="0" collapsed="false">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ustomFormat="false" ht="15.75" hidden="false" customHeight="false" outlineLevel="0" collapsed="false">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ustomFormat="false" ht="15.75" hidden="false" customHeight="false" outlineLevel="0" collapsed="false">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ustomFormat="false" ht="15.75" hidden="false" customHeight="false" outlineLevel="0" collapsed="false">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ustomFormat="false" ht="15.75" hidden="false" customHeight="false" outlineLevel="0" collapsed="false">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ustomFormat="false" ht="15.75" hidden="false" customHeight="false" outlineLevel="0" collapsed="false">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ustomFormat="false" ht="15.75" hidden="false" customHeight="false" outlineLevel="0" collapsed="false">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ustomFormat="false" ht="15.75" hidden="false" customHeight="false" outlineLevel="0" collapsed="false">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ustomFormat="false" ht="15.75" hidden="false" customHeight="false" outlineLevel="0" collapsed="false">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ustomFormat="false" ht="15.75" hidden="false" customHeight="false" outlineLevel="0" collapsed="false">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ustomFormat="false" ht="15.75" hidden="false" customHeight="false" outlineLevel="0" collapsed="false">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ustomFormat="false" ht="15.75" hidden="false" customHeight="false" outlineLevel="0" collapsed="false">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ustomFormat="false" ht="15.75" hidden="false" customHeight="false" outlineLevel="0" collapsed="false">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ustomFormat="false" ht="15.75" hidden="false" customHeight="false" outlineLevel="0" collapsed="false">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ustomFormat="false" ht="15.75" hidden="false" customHeight="false" outlineLevel="0" collapsed="false">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ustomFormat="false" ht="15.75" hidden="false" customHeight="false" outlineLevel="0" collapsed="false">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ustomFormat="false" ht="15.75" hidden="false" customHeight="false" outlineLevel="0" collapsed="false">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ustomFormat="false" ht="15.75" hidden="false" customHeight="false" outlineLevel="0" collapsed="false">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ustomFormat="false" ht="15.75" hidden="false" customHeight="false" outlineLevel="0" collapsed="false">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ustomFormat="false" ht="15.75" hidden="false" customHeight="false" outlineLevel="0" collapsed="false">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ustomFormat="false" ht="15.75" hidden="false" customHeight="false" outlineLevel="0" collapsed="false">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ustomFormat="false" ht="15.75" hidden="false" customHeight="false" outlineLevel="0" collapsed="false">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ustomFormat="false" ht="15.75" hidden="false" customHeight="false" outlineLevel="0" collapsed="false">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ustomFormat="false" ht="15.75" hidden="false" customHeight="false" outlineLevel="0" collapsed="false">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ustomFormat="false" ht="15.75" hidden="false" customHeight="false" outlineLevel="0" collapsed="false">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ustomFormat="false" ht="15.75" hidden="false" customHeight="false" outlineLevel="0" collapsed="false">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ustomFormat="false" ht="15.75" hidden="false" customHeight="false" outlineLevel="0" collapsed="false">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ustomFormat="false" ht="15.75" hidden="false" customHeight="false" outlineLevel="0" collapsed="false">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ustomFormat="false" ht="15.75" hidden="false" customHeight="false" outlineLevel="0" collapsed="false">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ustomFormat="false" ht="15.75" hidden="false" customHeight="false" outlineLevel="0" collapsed="false">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ustomFormat="false" ht="15.75" hidden="false" customHeight="false" outlineLevel="0" collapsed="false">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ustomFormat="false" ht="15.75" hidden="false" customHeight="false" outlineLevel="0" collapsed="false">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ustomFormat="false" ht="15.75" hidden="false" customHeight="false" outlineLevel="0" collapsed="false">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ustomFormat="false" ht="15.75" hidden="false" customHeight="false" outlineLevel="0" collapsed="false">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ustomFormat="false" ht="15.75" hidden="false" customHeight="false" outlineLevel="0" collapsed="false">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ustomFormat="false" ht="15.75" hidden="false" customHeight="false" outlineLevel="0" collapsed="false">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ustomFormat="false" ht="15.75" hidden="false" customHeight="false" outlineLevel="0" collapsed="false">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ustomFormat="false" ht="15.75" hidden="false" customHeight="false" outlineLevel="0" collapsed="false">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ustomFormat="false" ht="15.75" hidden="false" customHeight="false" outlineLevel="0" collapsed="false">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ustomFormat="false" ht="15.75" hidden="false" customHeight="false" outlineLevel="0" collapsed="false">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ustomFormat="false" ht="15.75" hidden="false" customHeight="false" outlineLevel="0" collapsed="false">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ustomFormat="false" ht="15.75" hidden="false" customHeight="false" outlineLevel="0" collapsed="false">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ustomFormat="false" ht="15.75" hidden="false" customHeight="false" outlineLevel="0" collapsed="false">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ustomFormat="false" ht="15.75" hidden="false" customHeight="false" outlineLevel="0" collapsed="false">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ustomFormat="false" ht="15.75" hidden="false" customHeight="false" outlineLevel="0" collapsed="false">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ustomFormat="false" ht="15.75" hidden="false" customHeight="false" outlineLevel="0" collapsed="false">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ustomFormat="false" ht="15.75" hidden="false" customHeight="false" outlineLevel="0" collapsed="false">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ustomFormat="false" ht="15.75" hidden="false" customHeight="false" outlineLevel="0" collapsed="false">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ustomFormat="false" ht="15.75" hidden="false" customHeight="false" outlineLevel="0" collapsed="false">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ustomFormat="false" ht="15.75" hidden="false" customHeight="false" outlineLevel="0" collapsed="false">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ustomFormat="false" ht="15.75" hidden="false" customHeight="false" outlineLevel="0" collapsed="false">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ustomFormat="false" ht="15.75" hidden="false" customHeight="false" outlineLevel="0" collapsed="false">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ustomFormat="false" ht="15.75" hidden="false" customHeight="false" outlineLevel="0" collapsed="false">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ustomFormat="false" ht="15.75" hidden="false" customHeight="false" outlineLevel="0" collapsed="false">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ustomFormat="false" ht="15.75" hidden="false" customHeight="false" outlineLevel="0" collapsed="false">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ustomFormat="false" ht="15.75" hidden="false" customHeight="false" outlineLevel="0" collapsed="false">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ustomFormat="false" ht="15.75" hidden="false" customHeight="false" outlineLevel="0" collapsed="false">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ustomFormat="false" ht="15.75" hidden="false" customHeight="false" outlineLevel="0" collapsed="false">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ustomFormat="false" ht="15.75" hidden="false" customHeight="false" outlineLevel="0" collapsed="false">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ustomFormat="false" ht="15.75" hidden="false" customHeight="false" outlineLevel="0" collapsed="false">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ustomFormat="false" ht="15.75" hidden="false" customHeight="false" outlineLevel="0" collapsed="false">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ustomFormat="false" ht="15.75" hidden="false" customHeight="false" outlineLevel="0" collapsed="false">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ustomFormat="false" ht="15.75" hidden="false" customHeight="false" outlineLevel="0" collapsed="false">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ustomFormat="false" ht="15.75" hidden="false" customHeight="false" outlineLevel="0" collapsed="false">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ustomFormat="false" ht="15.75" hidden="false" customHeight="false" outlineLevel="0" collapsed="false">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ustomFormat="false" ht="15.75" hidden="false" customHeight="false" outlineLevel="0" collapsed="false">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ustomFormat="false" ht="15.75" hidden="false" customHeight="false" outlineLevel="0" collapsed="false">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ustomFormat="false" ht="15.75" hidden="false" customHeight="false" outlineLevel="0" collapsed="false">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ustomFormat="false" ht="15.75" hidden="false" customHeight="false" outlineLevel="0" collapsed="false">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ustomFormat="false" ht="15.75" hidden="false" customHeight="false" outlineLevel="0" collapsed="false">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ustomFormat="false" ht="15.75" hidden="false" customHeight="false" outlineLevel="0" collapsed="false">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ustomFormat="false" ht="15.75" hidden="false" customHeight="false" outlineLevel="0" collapsed="false">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ustomFormat="false" ht="15.75" hidden="false" customHeight="false" outlineLevel="0" collapsed="false">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ustomFormat="false" ht="15.75" hidden="false" customHeight="false" outlineLevel="0" collapsed="false">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ustomFormat="false" ht="15.75" hidden="false" customHeight="false" outlineLevel="0" collapsed="false">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ustomFormat="false" ht="15.75" hidden="false" customHeight="false" outlineLevel="0" collapsed="false">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ustomFormat="false" ht="15.75" hidden="false" customHeight="false" outlineLevel="0" collapsed="false">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ustomFormat="false" ht="15.75" hidden="false" customHeight="false" outlineLevel="0" collapsed="false">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ustomFormat="false" ht="15.75" hidden="false" customHeight="false" outlineLevel="0" collapsed="false">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ustomFormat="false" ht="15.75" hidden="false" customHeight="false" outlineLevel="0" collapsed="false">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ustomFormat="false" ht="15.75" hidden="false" customHeight="false" outlineLevel="0" collapsed="false">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ustomFormat="false" ht="15.75" hidden="false" customHeight="false" outlineLevel="0" collapsed="false">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ustomFormat="false" ht="15.75" hidden="false" customHeight="false" outlineLevel="0" collapsed="false">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ustomFormat="false" ht="15.75" hidden="false" customHeight="false" outlineLevel="0" collapsed="false">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ustomFormat="false" ht="15.75" hidden="false" customHeight="false" outlineLevel="0" collapsed="false">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ustomFormat="false" ht="15.75" hidden="false" customHeight="false" outlineLevel="0" collapsed="false">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ustomFormat="false" ht="15.75" hidden="false" customHeight="false" outlineLevel="0" collapsed="false">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ustomFormat="false" ht="15.75" hidden="false" customHeight="false" outlineLevel="0" collapsed="false">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ustomFormat="false" ht="15.75" hidden="false" customHeight="false" outlineLevel="0" collapsed="false">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ustomFormat="false" ht="15.75" hidden="false" customHeight="false" outlineLevel="0" collapsed="false">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ustomFormat="false" ht="15.75" hidden="false" customHeight="false" outlineLevel="0" collapsed="false">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ustomFormat="false" ht="15.75" hidden="false" customHeight="false" outlineLevel="0" collapsed="false">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ustomFormat="false" ht="15.75" hidden="false" customHeight="false" outlineLevel="0" collapsed="false">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ustomFormat="false" ht="15.75" hidden="false" customHeight="false" outlineLevel="0" collapsed="false">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ustomFormat="false" ht="15.75" hidden="false" customHeight="false" outlineLevel="0" collapsed="false">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ustomFormat="false" ht="15.75" hidden="false" customHeight="false" outlineLevel="0" collapsed="false">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ustomFormat="false" ht="15.75" hidden="false" customHeight="false" outlineLevel="0" collapsed="false">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ustomFormat="false" ht="15.75" hidden="false" customHeight="false" outlineLevel="0" collapsed="false">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ustomFormat="false" ht="15.75" hidden="false" customHeight="false" outlineLevel="0" collapsed="false">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ustomFormat="false" ht="15.75" hidden="false" customHeight="false" outlineLevel="0" collapsed="false">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ustomFormat="false" ht="15.75" hidden="false" customHeight="false" outlineLevel="0" collapsed="false">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ustomFormat="false" ht="15.75" hidden="false" customHeight="false" outlineLevel="0" collapsed="false">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ustomFormat="false" ht="15.75" hidden="false" customHeight="false" outlineLevel="0" collapsed="false">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ustomFormat="false" ht="15.75" hidden="false" customHeight="false" outlineLevel="0" collapsed="false">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ustomFormat="false" ht="15.75" hidden="false" customHeight="false" outlineLevel="0" collapsed="false">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ustomFormat="false" ht="15.75" hidden="false" customHeight="false" outlineLevel="0" collapsed="false">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ustomFormat="false" ht="15.75" hidden="false" customHeight="false" outlineLevel="0" collapsed="false">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ustomFormat="false" ht="15.75" hidden="false" customHeight="false" outlineLevel="0" collapsed="false">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ustomFormat="false" ht="15.75" hidden="false" customHeight="false" outlineLevel="0" collapsed="false">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ustomFormat="false" ht="15.75" hidden="false" customHeight="false" outlineLevel="0" collapsed="false">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ustomFormat="false" ht="15.75" hidden="false" customHeight="false" outlineLevel="0" collapsed="false">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ustomFormat="false" ht="15.75" hidden="false" customHeight="false" outlineLevel="0" collapsed="false">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ustomFormat="false" ht="15.75" hidden="false" customHeight="false" outlineLevel="0" collapsed="false">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ustomFormat="false" ht="15.75" hidden="false" customHeight="false" outlineLevel="0" collapsed="false">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ustomFormat="false" ht="15.75" hidden="false" customHeight="false" outlineLevel="0" collapsed="false">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ustomFormat="false" ht="15.75" hidden="false" customHeight="false" outlineLevel="0" collapsed="false">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ustomFormat="false" ht="15.75" hidden="false" customHeight="false" outlineLevel="0" collapsed="false">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ustomFormat="false" ht="15.75" hidden="false" customHeight="false" outlineLevel="0" collapsed="false">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ustomFormat="false" ht="15.75" hidden="false" customHeight="false" outlineLevel="0" collapsed="false">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ustomFormat="false" ht="15.75" hidden="false" customHeight="false" outlineLevel="0" collapsed="false">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ustomFormat="false" ht="15.75" hidden="false" customHeight="false" outlineLevel="0" collapsed="false">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ustomFormat="false" ht="15.75" hidden="false" customHeight="false" outlineLevel="0" collapsed="false">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ustomFormat="false" ht="15.75" hidden="false" customHeight="false" outlineLevel="0" collapsed="false">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ustomFormat="false" ht="15.75" hidden="false" customHeight="false" outlineLevel="0" collapsed="false">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ustomFormat="false" ht="15.75" hidden="false" customHeight="false" outlineLevel="0" collapsed="false">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ustomFormat="false" ht="15.75" hidden="false" customHeight="false" outlineLevel="0" collapsed="false">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ustomFormat="false" ht="15.75" hidden="false" customHeight="false" outlineLevel="0" collapsed="false">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ustomFormat="false" ht="15.75" hidden="false" customHeight="false" outlineLevel="0" collapsed="false">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ustomFormat="false" ht="15.75" hidden="false" customHeight="false" outlineLevel="0" collapsed="false">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ustomFormat="false" ht="15.75" hidden="false" customHeight="false" outlineLevel="0" collapsed="false">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ustomFormat="false" ht="15.75" hidden="false" customHeight="false" outlineLevel="0" collapsed="false">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ustomFormat="false" ht="15.75" hidden="false" customHeight="false" outlineLevel="0" collapsed="false">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ustomFormat="false" ht="15.75" hidden="false" customHeight="false" outlineLevel="0" collapsed="false">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ustomFormat="false" ht="15.75" hidden="false" customHeight="false" outlineLevel="0" collapsed="false">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ustomFormat="false" ht="15.75" hidden="false" customHeight="false" outlineLevel="0" collapsed="false">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ustomFormat="false" ht="15.75" hidden="false" customHeight="false" outlineLevel="0" collapsed="false">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ustomFormat="false" ht="15.75" hidden="false" customHeight="false" outlineLevel="0" collapsed="false">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ustomFormat="false" ht="15.75" hidden="false" customHeight="false" outlineLevel="0" collapsed="false">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ustomFormat="false" ht="15.75" hidden="false" customHeight="false" outlineLevel="0" collapsed="false">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ustomFormat="false" ht="15.75" hidden="false" customHeight="false" outlineLevel="0" collapsed="false">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ustomFormat="false" ht="15.75" hidden="false" customHeight="false" outlineLevel="0" collapsed="false">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ustomFormat="false" ht="15.75" hidden="false" customHeight="false" outlineLevel="0" collapsed="false">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ustomFormat="false" ht="15.75" hidden="false" customHeight="false" outlineLevel="0" collapsed="false">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ustomFormat="false" ht="15.75" hidden="false" customHeight="false" outlineLevel="0" collapsed="false">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ustomFormat="false" ht="15.75" hidden="false" customHeight="false" outlineLevel="0" collapsed="false">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ustomFormat="false" ht="15.75" hidden="false" customHeight="false" outlineLevel="0" collapsed="false">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ustomFormat="false" ht="15.75" hidden="false" customHeight="false" outlineLevel="0" collapsed="false">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ustomFormat="false" ht="15.75" hidden="false" customHeight="false" outlineLevel="0" collapsed="false">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ustomFormat="false" ht="15.75" hidden="false" customHeight="false" outlineLevel="0" collapsed="false">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ustomFormat="false" ht="15.75" hidden="false" customHeight="false" outlineLevel="0" collapsed="false">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ustomFormat="false" ht="15.75" hidden="false" customHeight="false" outlineLevel="0" collapsed="false">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ustomFormat="false" ht="15.75" hidden="false" customHeight="false" outlineLevel="0" collapsed="false">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ustomFormat="false" ht="15.75" hidden="false" customHeight="false" outlineLevel="0" collapsed="false">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ustomFormat="false" ht="15.75" hidden="false" customHeight="false" outlineLevel="0" collapsed="false">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ustomFormat="false" ht="15.75" hidden="false" customHeight="false" outlineLevel="0" collapsed="false">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ustomFormat="false" ht="15.75" hidden="false" customHeight="false" outlineLevel="0" collapsed="false">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ustomFormat="false" ht="15.75" hidden="false" customHeight="false" outlineLevel="0" collapsed="false">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ustomFormat="false" ht="15.75" hidden="false" customHeight="false" outlineLevel="0" collapsed="false">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ustomFormat="false" ht="15.75" hidden="false" customHeight="false" outlineLevel="0" collapsed="false">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ustomFormat="false" ht="15.75" hidden="false" customHeight="false" outlineLevel="0" collapsed="false">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ustomFormat="false" ht="15.75" hidden="false" customHeight="false" outlineLevel="0" collapsed="false">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ustomFormat="false" ht="15.75" hidden="false" customHeight="false" outlineLevel="0" collapsed="false">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ustomFormat="false" ht="15.75" hidden="false" customHeight="false" outlineLevel="0" collapsed="false">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ustomFormat="false" ht="15.75" hidden="false" customHeight="false" outlineLevel="0" collapsed="false">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ustomFormat="false" ht="15.75" hidden="false" customHeight="false" outlineLevel="0" collapsed="false">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ustomFormat="false" ht="15.75" hidden="false" customHeight="false" outlineLevel="0" collapsed="false">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ustomFormat="false" ht="15.75" hidden="false" customHeight="false" outlineLevel="0" collapsed="false">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ustomFormat="false" ht="15.75" hidden="false" customHeight="false" outlineLevel="0" collapsed="false">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ustomFormat="false" ht="15.75" hidden="false" customHeight="false" outlineLevel="0" collapsed="false">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ustomFormat="false" ht="15.75" hidden="false" customHeight="false" outlineLevel="0" collapsed="false">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ustomFormat="false" ht="15.75" hidden="false" customHeight="false" outlineLevel="0" collapsed="false">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ustomFormat="false" ht="15.75" hidden="false" customHeight="false" outlineLevel="0" collapsed="false">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ustomFormat="false" ht="15.75" hidden="false" customHeight="false" outlineLevel="0" collapsed="false">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ustomFormat="false" ht="15.75" hidden="false" customHeight="false" outlineLevel="0" collapsed="false">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ustomFormat="false" ht="15.75" hidden="false" customHeight="false" outlineLevel="0" collapsed="false">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ustomFormat="false" ht="15.75" hidden="false" customHeight="false" outlineLevel="0" collapsed="false">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ustomFormat="false" ht="15.75" hidden="false" customHeight="false" outlineLevel="0" collapsed="false">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ustomFormat="false" ht="15.75" hidden="false" customHeight="false" outlineLevel="0" collapsed="false">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ustomFormat="false" ht="15.75" hidden="false" customHeight="false" outlineLevel="0" collapsed="false">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ustomFormat="false" ht="15.75" hidden="false" customHeight="false" outlineLevel="0" collapsed="false">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ustomFormat="false" ht="15.75" hidden="false" customHeight="false" outlineLevel="0" collapsed="false">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ustomFormat="false" ht="15.75" hidden="false" customHeight="false" outlineLevel="0" collapsed="false">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ustomFormat="false" ht="15.75" hidden="false" customHeight="false" outlineLevel="0" collapsed="false">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ustomFormat="false" ht="15.75" hidden="false" customHeight="false" outlineLevel="0" collapsed="false">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ustomFormat="false" ht="15.75" hidden="false" customHeight="false" outlineLevel="0" collapsed="false">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ustomFormat="false" ht="15.75" hidden="false" customHeight="false" outlineLevel="0" collapsed="false">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ustomFormat="false" ht="15.75" hidden="false" customHeight="false" outlineLevel="0" collapsed="false">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ustomFormat="false" ht="15.75" hidden="false" customHeight="false" outlineLevel="0" collapsed="false">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ustomFormat="false" ht="15.75" hidden="false" customHeight="false" outlineLevel="0" collapsed="false">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ustomFormat="false" ht="15.75" hidden="false" customHeight="false" outlineLevel="0" collapsed="false">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ustomFormat="false" ht="15.75" hidden="false" customHeight="false" outlineLevel="0" collapsed="false">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ustomFormat="false" ht="15.75" hidden="false" customHeight="false" outlineLevel="0" collapsed="false">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ustomFormat="false" ht="15.75" hidden="false" customHeight="false" outlineLevel="0" collapsed="false">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ustomFormat="false" ht="15.75" hidden="false" customHeight="false" outlineLevel="0" collapsed="false">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ustomFormat="false" ht="15.75" hidden="false" customHeight="false" outlineLevel="0" collapsed="false">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ustomFormat="false" ht="15.75" hidden="false" customHeight="false" outlineLevel="0" collapsed="false">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ustomFormat="false" ht="15.75" hidden="false" customHeight="false" outlineLevel="0" collapsed="false">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ustomFormat="false" ht="15.75" hidden="false" customHeight="false" outlineLevel="0" collapsed="false">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ustomFormat="false" ht="15.75" hidden="false" customHeight="false" outlineLevel="0" collapsed="false">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ustomFormat="false" ht="15.75" hidden="false" customHeight="false" outlineLevel="0" collapsed="false">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ustomFormat="false" ht="15.75" hidden="false" customHeight="false" outlineLevel="0" collapsed="false">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ustomFormat="false" ht="15.75" hidden="false" customHeight="false" outlineLevel="0" collapsed="false">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ustomFormat="false" ht="15.75" hidden="false" customHeight="false" outlineLevel="0" collapsed="false">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ustomFormat="false" ht="15.75" hidden="false" customHeight="false" outlineLevel="0" collapsed="false">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ustomFormat="false" ht="15.75" hidden="false" customHeight="false" outlineLevel="0" collapsed="false">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ustomFormat="false" ht="15.75" hidden="false" customHeight="false" outlineLevel="0" collapsed="false">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ustomFormat="false" ht="15.75" hidden="false" customHeight="false" outlineLevel="0" collapsed="false">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ustomFormat="false" ht="15.75" hidden="false" customHeight="false" outlineLevel="0" collapsed="false">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ustomFormat="false" ht="15.75" hidden="false" customHeight="false" outlineLevel="0" collapsed="false">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ustomFormat="false" ht="15.75" hidden="false" customHeight="false" outlineLevel="0" collapsed="false">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ustomFormat="false" ht="15.75" hidden="false" customHeight="false" outlineLevel="0" collapsed="false">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ustomFormat="false" ht="15.75" hidden="false" customHeight="false" outlineLevel="0" collapsed="false">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ustomFormat="false" ht="15.75" hidden="false" customHeight="false" outlineLevel="0" collapsed="false">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ustomFormat="false" ht="15.75" hidden="false" customHeight="false" outlineLevel="0" collapsed="false">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ustomFormat="false" ht="15.75" hidden="false" customHeight="false" outlineLevel="0" collapsed="false">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ustomFormat="false" ht="15.75" hidden="false" customHeight="false" outlineLevel="0" collapsed="false">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ustomFormat="false" ht="15.75" hidden="false" customHeight="false" outlineLevel="0" collapsed="false">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ustomFormat="false" ht="15.75" hidden="false" customHeight="false" outlineLevel="0" collapsed="false">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ustomFormat="false" ht="15.75" hidden="false" customHeight="false" outlineLevel="0" collapsed="false">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ustomFormat="false" ht="15.75" hidden="false" customHeight="false" outlineLevel="0" collapsed="false">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ustomFormat="false" ht="15.75" hidden="false" customHeight="false" outlineLevel="0" collapsed="false">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ustomFormat="false" ht="15.75" hidden="false" customHeight="false" outlineLevel="0" collapsed="false">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ustomFormat="false" ht="15.75" hidden="false" customHeight="false" outlineLevel="0" collapsed="false">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ustomFormat="false" ht="15.75" hidden="false" customHeight="false" outlineLevel="0" collapsed="false">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ustomFormat="false" ht="15.75" hidden="false" customHeight="false" outlineLevel="0" collapsed="false">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ustomFormat="false" ht="15.75" hidden="false" customHeight="false" outlineLevel="0" collapsed="false">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ustomFormat="false" ht="15.75" hidden="false" customHeight="false" outlineLevel="0" collapsed="false">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ustomFormat="false" ht="15.75" hidden="false" customHeight="false" outlineLevel="0" collapsed="false">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ustomFormat="false" ht="15.75" hidden="false" customHeight="false" outlineLevel="0" collapsed="false">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ustomFormat="false" ht="15.75" hidden="false" customHeight="false" outlineLevel="0" collapsed="false">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ustomFormat="false" ht="15.75" hidden="false" customHeight="false" outlineLevel="0" collapsed="false">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ustomFormat="false" ht="15.75" hidden="false" customHeight="false" outlineLevel="0" collapsed="false">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ustomFormat="false" ht="15.75" hidden="false" customHeight="false" outlineLevel="0" collapsed="false">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ustomFormat="false" ht="15.75" hidden="false" customHeight="false" outlineLevel="0" collapsed="false">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ustomFormat="false" ht="15.75" hidden="false" customHeight="false" outlineLevel="0" collapsed="false">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ustomFormat="false" ht="15.75" hidden="false" customHeight="false" outlineLevel="0" collapsed="false">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ustomFormat="false" ht="15.75" hidden="false" customHeight="false" outlineLevel="0" collapsed="false">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ustomFormat="false" ht="15.75" hidden="false" customHeight="false" outlineLevel="0" collapsed="false">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ustomFormat="false" ht="15.75" hidden="false" customHeight="false" outlineLevel="0" collapsed="false">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ustomFormat="false" ht="15.75" hidden="false" customHeight="false" outlineLevel="0" collapsed="false">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ustomFormat="false" ht="15.75" hidden="false" customHeight="false" outlineLevel="0" collapsed="false">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ustomFormat="false" ht="15.75" hidden="false" customHeight="false" outlineLevel="0" collapsed="false">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ustomFormat="false" ht="15.75" hidden="false" customHeight="false" outlineLevel="0" collapsed="false">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ustomFormat="false" ht="15.75" hidden="false" customHeight="false" outlineLevel="0" collapsed="false">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ustomFormat="false" ht="15.75" hidden="false" customHeight="false" outlineLevel="0" collapsed="false">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ustomFormat="false" ht="15.75" hidden="false" customHeight="false" outlineLevel="0" collapsed="false">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ustomFormat="false" ht="15.75" hidden="false" customHeight="false" outlineLevel="0" collapsed="false">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ustomFormat="false" ht="15.75" hidden="false" customHeight="false" outlineLevel="0" collapsed="false">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ustomFormat="false" ht="15.75" hidden="false" customHeight="false" outlineLevel="0" collapsed="false">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ustomFormat="false" ht="15.75" hidden="false" customHeight="false" outlineLevel="0" collapsed="false">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ustomFormat="false" ht="15.75" hidden="false" customHeight="false" outlineLevel="0" collapsed="false">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ustomFormat="false" ht="15.75" hidden="false" customHeight="false" outlineLevel="0" collapsed="false">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ustomFormat="false" ht="15.75" hidden="false" customHeight="false" outlineLevel="0" collapsed="false">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ustomFormat="false" ht="15.75" hidden="false" customHeight="false" outlineLevel="0" collapsed="false">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ustomFormat="false" ht="15.75" hidden="false" customHeight="false" outlineLevel="0" collapsed="false">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ustomFormat="false" ht="15.75" hidden="false" customHeight="false" outlineLevel="0" collapsed="false">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ustomFormat="false" ht="15.75" hidden="false" customHeight="false" outlineLevel="0" collapsed="false">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ustomFormat="false" ht="15.75" hidden="false" customHeight="false" outlineLevel="0" collapsed="false">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ustomFormat="false" ht="15.75" hidden="false" customHeight="false" outlineLevel="0" collapsed="false">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ustomFormat="false" ht="15.75" hidden="false" customHeight="false" outlineLevel="0" collapsed="false">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ustomFormat="false" ht="15.75" hidden="false" customHeight="false" outlineLevel="0" collapsed="false">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ustomFormat="false" ht="15.75" hidden="false" customHeight="false" outlineLevel="0" collapsed="false">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ustomFormat="false" ht="15.75" hidden="false" customHeight="false" outlineLevel="0" collapsed="false">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ustomFormat="false" ht="15.75" hidden="false" customHeight="false" outlineLevel="0" collapsed="false">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ustomFormat="false" ht="15.75" hidden="false" customHeight="false" outlineLevel="0" collapsed="false">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ustomFormat="false" ht="15.75" hidden="false" customHeight="false" outlineLevel="0" collapsed="false">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ustomFormat="false" ht="15.75" hidden="false" customHeight="false" outlineLevel="0" collapsed="false">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ustomFormat="false" ht="15.75" hidden="false" customHeight="false" outlineLevel="0" collapsed="false">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ustomFormat="false" ht="15.75" hidden="false" customHeight="false" outlineLevel="0" collapsed="false">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ustomFormat="false" ht="15.75" hidden="false" customHeight="false" outlineLevel="0" collapsed="false">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ustomFormat="false" ht="15.75" hidden="false" customHeight="false" outlineLevel="0" collapsed="false">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ustomFormat="false" ht="15.75" hidden="false" customHeight="false" outlineLevel="0" collapsed="false">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ustomFormat="false" ht="15.75" hidden="false" customHeight="false" outlineLevel="0" collapsed="false">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ustomFormat="false" ht="15.75" hidden="false" customHeight="false" outlineLevel="0" collapsed="false">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ustomFormat="false" ht="15.75" hidden="false" customHeight="false" outlineLevel="0" collapsed="false">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ustomFormat="false" ht="15.75" hidden="false" customHeight="false" outlineLevel="0" collapsed="false">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ustomFormat="false" ht="15.75" hidden="false" customHeight="false" outlineLevel="0" collapsed="false">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ustomFormat="false" ht="15.75" hidden="false" customHeight="false" outlineLevel="0" collapsed="false">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ustomFormat="false" ht="15.75" hidden="false" customHeight="false" outlineLevel="0" collapsed="false">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ustomFormat="false" ht="15.75" hidden="false" customHeight="false" outlineLevel="0" collapsed="false">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ustomFormat="false" ht="15.75" hidden="false" customHeight="false" outlineLevel="0" collapsed="false">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ustomFormat="false" ht="15.75" hidden="false" customHeight="false" outlineLevel="0" collapsed="false">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ustomFormat="false" ht="15.75" hidden="false" customHeight="false" outlineLevel="0" collapsed="false">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ustomFormat="false" ht="15.75" hidden="false" customHeight="false" outlineLevel="0" collapsed="false">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ustomFormat="false" ht="15.75" hidden="false" customHeight="false" outlineLevel="0" collapsed="false">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ustomFormat="false" ht="15.75" hidden="false" customHeight="false" outlineLevel="0" collapsed="false">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ustomFormat="false" ht="15.75" hidden="false" customHeight="false" outlineLevel="0" collapsed="false">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ustomFormat="false" ht="15.75" hidden="false" customHeight="false" outlineLevel="0" collapsed="false">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ustomFormat="false" ht="15.75" hidden="false" customHeight="false" outlineLevel="0" collapsed="false">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ustomFormat="false" ht="15.75" hidden="false" customHeight="false" outlineLevel="0" collapsed="false">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ustomFormat="false" ht="15.75" hidden="false" customHeight="false" outlineLevel="0" collapsed="false">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ustomFormat="false" ht="15.75" hidden="false" customHeight="false" outlineLevel="0" collapsed="false">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ustomFormat="false" ht="15.75" hidden="false" customHeight="false" outlineLevel="0" collapsed="false">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ustomFormat="false" ht="15.75" hidden="false" customHeight="false" outlineLevel="0" collapsed="false">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ustomFormat="false" ht="15.75" hidden="false" customHeight="false" outlineLevel="0" collapsed="false">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ustomFormat="false" ht="15.75" hidden="false" customHeight="false" outlineLevel="0" collapsed="false">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ustomFormat="false" ht="15.75" hidden="false" customHeight="false" outlineLevel="0" collapsed="false">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ustomFormat="false" ht="15.75" hidden="false" customHeight="false" outlineLevel="0" collapsed="false">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ustomFormat="false" ht="15.75" hidden="false" customHeight="false" outlineLevel="0" collapsed="false">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ustomFormat="false" ht="15.75" hidden="false" customHeight="false" outlineLevel="0" collapsed="false">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ustomFormat="false" ht="15.75" hidden="false" customHeight="false" outlineLevel="0" collapsed="false">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ustomFormat="false" ht="15.75" hidden="false" customHeight="false" outlineLevel="0" collapsed="false">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ustomFormat="false" ht="15.75" hidden="false" customHeight="false" outlineLevel="0" collapsed="false">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ustomFormat="false" ht="15.75" hidden="false" customHeight="false" outlineLevel="0" collapsed="false">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ustomFormat="false" ht="15.75" hidden="false" customHeight="false" outlineLevel="0" collapsed="false">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ustomFormat="false" ht="15.75" hidden="false" customHeight="false" outlineLevel="0" collapsed="false">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ustomFormat="false" ht="15.75" hidden="false" customHeight="false" outlineLevel="0" collapsed="false">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ustomFormat="false" ht="15.75" hidden="false" customHeight="false" outlineLevel="0" collapsed="false">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ustomFormat="false" ht="15.75" hidden="false" customHeight="false" outlineLevel="0" collapsed="false">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ustomFormat="false" ht="15.75" hidden="false" customHeight="false" outlineLevel="0" collapsed="false">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ustomFormat="false" ht="15.75" hidden="false" customHeight="false" outlineLevel="0" collapsed="false">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ustomFormat="false" ht="15.75" hidden="false" customHeight="false" outlineLevel="0" collapsed="false">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ustomFormat="false" ht="15.75" hidden="false" customHeight="false" outlineLevel="0" collapsed="false">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ustomFormat="false" ht="15.75" hidden="false" customHeight="false" outlineLevel="0" collapsed="false">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ustomFormat="false" ht="15.75" hidden="false" customHeight="false" outlineLevel="0" collapsed="false">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ustomFormat="false" ht="15.75" hidden="false" customHeight="false" outlineLevel="0" collapsed="false">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ustomFormat="false" ht="15.75" hidden="false" customHeight="false" outlineLevel="0" collapsed="false">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ustomFormat="false" ht="15.75" hidden="false" customHeight="false" outlineLevel="0" collapsed="false">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ustomFormat="false" ht="15.75" hidden="false" customHeight="false" outlineLevel="0" collapsed="false">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ustomFormat="false" ht="15.75" hidden="false" customHeight="false" outlineLevel="0" collapsed="false">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ustomFormat="false" ht="15.75" hidden="false" customHeight="false" outlineLevel="0" collapsed="false">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ustomFormat="false" ht="15.75" hidden="false" customHeight="false" outlineLevel="0" collapsed="false">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ustomFormat="false" ht="15.75" hidden="false" customHeight="false" outlineLevel="0" collapsed="false">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ustomFormat="false" ht="15.75" hidden="false" customHeight="false" outlineLevel="0" collapsed="false">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ustomFormat="false" ht="15.75" hidden="false" customHeight="false" outlineLevel="0" collapsed="false">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ustomFormat="false" ht="15.75" hidden="false" customHeight="false" outlineLevel="0" collapsed="false">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ustomFormat="false" ht="15.75" hidden="false" customHeight="false" outlineLevel="0" collapsed="false">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ustomFormat="false" ht="15.75" hidden="false" customHeight="false" outlineLevel="0" collapsed="false">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ustomFormat="false" ht="15.75" hidden="false" customHeight="false" outlineLevel="0" collapsed="false">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ustomFormat="false" ht="15.75" hidden="false" customHeight="false" outlineLevel="0" collapsed="false">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ustomFormat="false" ht="15.75" hidden="false" customHeight="false" outlineLevel="0" collapsed="false">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ustomFormat="false" ht="15.75" hidden="false" customHeight="false" outlineLevel="0" collapsed="false">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ustomFormat="false" ht="15.75" hidden="false" customHeight="false" outlineLevel="0" collapsed="false">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ustomFormat="false" ht="15.75" hidden="false" customHeight="false" outlineLevel="0" collapsed="false">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ustomFormat="false" ht="15.75" hidden="false" customHeight="false" outlineLevel="0" collapsed="false">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ustomFormat="false" ht="15.75" hidden="false" customHeight="false" outlineLevel="0" collapsed="false">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ustomFormat="false" ht="15.75" hidden="false" customHeight="false" outlineLevel="0" collapsed="false">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ustomFormat="false" ht="15.75" hidden="false" customHeight="false" outlineLevel="0" collapsed="false">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ustomFormat="false" ht="15.75" hidden="false" customHeight="false" outlineLevel="0" collapsed="false">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ustomFormat="false" ht="15.75" hidden="false" customHeight="false" outlineLevel="0" collapsed="false">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ustomFormat="false" ht="15.75" hidden="false" customHeight="false" outlineLevel="0" collapsed="false">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ustomFormat="false" ht="15.75" hidden="false" customHeight="false" outlineLevel="0" collapsed="false">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ustomFormat="false" ht="15.75" hidden="false" customHeight="false" outlineLevel="0" collapsed="false">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ustomFormat="false" ht="15.75" hidden="false" customHeight="false" outlineLevel="0" collapsed="false">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1" outlineLevelCol="0"/>
  <cols>
    <col collapsed="false" customWidth="true" hidden="false" outlineLevel="0" max="1" min="1" style="0" width="22.63"/>
    <col collapsed="false" customWidth="false" hidden="true" outlineLevel="0" max="2" min="2" style="0" width="12.63"/>
    <col collapsed="false" customWidth="true" hidden="false" outlineLevel="0" max="3" min="3" style="0" width="35.25"/>
    <col collapsed="false" customWidth="false" hidden="true" outlineLevel="0" max="4" min="4" style="0" width="12.63"/>
    <col collapsed="false" customWidth="true" hidden="false" outlineLevel="0" max="5" min="5" style="0" width="51.5"/>
    <col collapsed="false" customWidth="true" hidden="false" outlineLevel="0" max="6" min="6" style="0" width="50.38"/>
    <col collapsed="false" customWidth="true" hidden="false" outlineLevel="0" max="7" min="7" style="0" width="23.88"/>
    <col collapsed="false" customWidth="true" hidden="true" outlineLevel="0" max="8" min="8" style="0" width="17.63"/>
    <col collapsed="false" customWidth="true" hidden="true" outlineLevel="0" max="9" min="9" style="0" width="34.63"/>
    <col collapsed="false" customWidth="true" hidden="true" outlineLevel="0" max="10" min="10" style="0" width="25"/>
    <col collapsed="false" customWidth="true" hidden="false" outlineLevel="0" max="11" min="11" style="0" width="30.63"/>
  </cols>
  <sheetData>
    <row r="1" customFormat="false" ht="15.75" hidden="false" customHeight="false" outlineLevel="0" collapsed="false">
      <c r="A1" s="14" t="s">
        <v>136</v>
      </c>
      <c r="B1" s="14" t="s">
        <v>137</v>
      </c>
      <c r="C1" s="14" t="s">
        <v>138</v>
      </c>
      <c r="D1" s="14" t="s">
        <v>139</v>
      </c>
      <c r="E1" s="14" t="s">
        <v>140</v>
      </c>
      <c r="F1" s="14" t="s">
        <v>141</v>
      </c>
      <c r="G1" s="14" t="s">
        <v>142</v>
      </c>
      <c r="H1" s="14" t="s">
        <v>143</v>
      </c>
      <c r="I1" s="14" t="s">
        <v>144</v>
      </c>
      <c r="J1" s="14" t="s">
        <v>145</v>
      </c>
      <c r="K1" s="14" t="s">
        <v>146</v>
      </c>
    </row>
    <row r="2" customFormat="false" ht="15.75" hidden="false" customHeight="false" outlineLevel="0" collapsed="false">
      <c r="A2" s="15" t="s">
        <v>147</v>
      </c>
      <c r="B2" s="16"/>
      <c r="C2" s="16"/>
      <c r="D2" s="16"/>
      <c r="E2" s="16"/>
      <c r="F2" s="16"/>
      <c r="G2" s="16"/>
      <c r="H2" s="16"/>
      <c r="I2" s="16"/>
      <c r="J2" s="16"/>
      <c r="K2" s="16"/>
    </row>
    <row r="3" customFormat="false" ht="39.55" hidden="false" customHeight="false" outlineLevel="1" collapsed="false">
      <c r="A3" s="17" t="s">
        <v>147</v>
      </c>
      <c r="B3" s="18" t="n">
        <v>1</v>
      </c>
      <c r="C3" s="17" t="s">
        <v>148</v>
      </c>
      <c r="D3" s="17" t="s">
        <v>149</v>
      </c>
      <c r="E3" s="17" t="s">
        <v>150</v>
      </c>
      <c r="F3" s="17" t="s">
        <v>151</v>
      </c>
      <c r="G3" s="17" t="s">
        <v>152</v>
      </c>
      <c r="H3" s="17" t="s">
        <v>153</v>
      </c>
      <c r="I3" s="17" t="s">
        <v>154</v>
      </c>
      <c r="J3" s="17" t="s">
        <v>155</v>
      </c>
      <c r="K3" s="17" t="s">
        <v>156</v>
      </c>
    </row>
    <row r="4" customFormat="false" ht="52.2" hidden="false" customHeight="false" outlineLevel="1" collapsed="false">
      <c r="A4" s="17" t="s">
        <v>147</v>
      </c>
      <c r="B4" s="18" t="n">
        <v>2</v>
      </c>
      <c r="C4" s="17" t="s">
        <v>157</v>
      </c>
      <c r="D4" s="17" t="s">
        <v>149</v>
      </c>
      <c r="E4" s="17" t="s">
        <v>158</v>
      </c>
      <c r="F4" s="17" t="s">
        <v>159</v>
      </c>
      <c r="G4" s="17" t="s">
        <v>152</v>
      </c>
      <c r="H4" s="17" t="s">
        <v>153</v>
      </c>
      <c r="I4" s="17" t="s">
        <v>154</v>
      </c>
      <c r="J4" s="17" t="s">
        <v>155</v>
      </c>
      <c r="K4" s="17" t="s">
        <v>160</v>
      </c>
    </row>
    <row r="5" customFormat="false" ht="39.55" hidden="false" customHeight="false" outlineLevel="1" collapsed="false">
      <c r="A5" s="17" t="s">
        <v>147</v>
      </c>
      <c r="B5" s="18" t="n">
        <v>3</v>
      </c>
      <c r="C5" s="17" t="s">
        <v>161</v>
      </c>
      <c r="D5" s="17" t="s">
        <v>149</v>
      </c>
      <c r="E5" s="17" t="s">
        <v>162</v>
      </c>
      <c r="F5" s="17" t="s">
        <v>163</v>
      </c>
      <c r="G5" s="17" t="s">
        <v>152</v>
      </c>
      <c r="H5" s="17" t="s">
        <v>153</v>
      </c>
      <c r="I5" s="17" t="s">
        <v>154</v>
      </c>
      <c r="J5" s="17" t="s">
        <v>155</v>
      </c>
      <c r="K5" s="17" t="s">
        <v>164</v>
      </c>
    </row>
    <row r="6" customFormat="false" ht="26.85" hidden="false" customHeight="false" outlineLevel="1" collapsed="false">
      <c r="A6" s="17" t="s">
        <v>147</v>
      </c>
      <c r="B6" s="18" t="n">
        <v>4</v>
      </c>
      <c r="C6" s="17" t="s">
        <v>165</v>
      </c>
      <c r="D6" s="17" t="s">
        <v>149</v>
      </c>
      <c r="E6" s="17" t="s">
        <v>166</v>
      </c>
      <c r="F6" s="17" t="s">
        <v>167</v>
      </c>
      <c r="G6" s="17" t="s">
        <v>152</v>
      </c>
      <c r="H6" s="17" t="s">
        <v>153</v>
      </c>
      <c r="I6" s="17" t="s">
        <v>154</v>
      </c>
      <c r="J6" s="17" t="s">
        <v>155</v>
      </c>
      <c r="K6" s="17" t="s">
        <v>168</v>
      </c>
    </row>
    <row r="7" customFormat="false" ht="39.55" hidden="false" customHeight="false" outlineLevel="1" collapsed="false">
      <c r="A7" s="17" t="s">
        <v>147</v>
      </c>
      <c r="B7" s="18" t="n">
        <v>5</v>
      </c>
      <c r="C7" s="17" t="s">
        <v>169</v>
      </c>
      <c r="D7" s="17" t="s">
        <v>149</v>
      </c>
      <c r="E7" s="17" t="s">
        <v>170</v>
      </c>
      <c r="F7" s="17" t="s">
        <v>171</v>
      </c>
      <c r="G7" s="17" t="s">
        <v>152</v>
      </c>
      <c r="H7" s="17" t="s">
        <v>153</v>
      </c>
      <c r="I7" s="17" t="s">
        <v>154</v>
      </c>
      <c r="J7" s="17" t="s">
        <v>155</v>
      </c>
      <c r="K7" s="17" t="s">
        <v>172</v>
      </c>
    </row>
    <row r="8" customFormat="false" ht="39.55" hidden="false" customHeight="false" outlineLevel="1" collapsed="false">
      <c r="A8" s="17" t="s">
        <v>147</v>
      </c>
      <c r="B8" s="18" t="n">
        <v>6</v>
      </c>
      <c r="C8" s="17" t="s">
        <v>173</v>
      </c>
      <c r="D8" s="17" t="s">
        <v>149</v>
      </c>
      <c r="E8" s="17" t="s">
        <v>174</v>
      </c>
      <c r="F8" s="17" t="s">
        <v>175</v>
      </c>
      <c r="G8" s="17" t="s">
        <v>152</v>
      </c>
      <c r="H8" s="17" t="s">
        <v>153</v>
      </c>
      <c r="I8" s="17" t="s">
        <v>154</v>
      </c>
      <c r="J8" s="17" t="s">
        <v>155</v>
      </c>
      <c r="K8" s="17" t="s">
        <v>176</v>
      </c>
    </row>
    <row r="9" customFormat="false" ht="26.85" hidden="false" customHeight="false" outlineLevel="1" collapsed="false">
      <c r="A9" s="17" t="s">
        <v>147</v>
      </c>
      <c r="B9" s="18" t="n">
        <v>7</v>
      </c>
      <c r="C9" s="17" t="s">
        <v>177</v>
      </c>
      <c r="D9" s="17" t="s">
        <v>149</v>
      </c>
      <c r="E9" s="17" t="s">
        <v>178</v>
      </c>
      <c r="F9" s="17" t="s">
        <v>179</v>
      </c>
      <c r="G9" s="17" t="s">
        <v>152</v>
      </c>
      <c r="H9" s="17" t="s">
        <v>153</v>
      </c>
      <c r="I9" s="17" t="s">
        <v>154</v>
      </c>
      <c r="J9" s="17" t="s">
        <v>155</v>
      </c>
      <c r="K9" s="17" t="s">
        <v>156</v>
      </c>
    </row>
    <row r="10" customFormat="false" ht="39.55" hidden="false" customHeight="false" outlineLevel="1" collapsed="false">
      <c r="A10" s="17" t="s">
        <v>147</v>
      </c>
      <c r="B10" s="18" t="n">
        <v>8</v>
      </c>
      <c r="C10" s="17" t="s">
        <v>180</v>
      </c>
      <c r="D10" s="17" t="s">
        <v>149</v>
      </c>
      <c r="E10" s="17" t="s">
        <v>181</v>
      </c>
      <c r="F10" s="17" t="s">
        <v>182</v>
      </c>
      <c r="G10" s="17" t="s">
        <v>152</v>
      </c>
      <c r="H10" s="17" t="s">
        <v>153</v>
      </c>
      <c r="I10" s="17" t="s">
        <v>154</v>
      </c>
      <c r="J10" s="17" t="s">
        <v>155</v>
      </c>
      <c r="K10" s="17" t="s">
        <v>160</v>
      </c>
    </row>
    <row r="11" customFormat="false" ht="15.75" hidden="false" customHeight="false" outlineLevel="0" collapsed="false">
      <c r="A11" s="15" t="s">
        <v>183</v>
      </c>
      <c r="B11" s="16"/>
      <c r="C11" s="16"/>
      <c r="D11" s="16"/>
      <c r="E11" s="16"/>
      <c r="F11" s="16"/>
      <c r="G11" s="16"/>
      <c r="H11" s="16"/>
      <c r="I11" s="16"/>
      <c r="J11" s="16"/>
      <c r="K11" s="16"/>
    </row>
    <row r="12" customFormat="false" ht="39.55" hidden="true" customHeight="false" outlineLevel="1" collapsed="false">
      <c r="A12" s="19" t="s">
        <v>183</v>
      </c>
      <c r="B12" s="19" t="s">
        <v>184</v>
      </c>
      <c r="C12" s="19" t="s">
        <v>185</v>
      </c>
      <c r="D12" s="19" t="s">
        <v>186</v>
      </c>
      <c r="E12" s="19" t="s">
        <v>187</v>
      </c>
      <c r="F12" s="19" t="s">
        <v>188</v>
      </c>
      <c r="G12" s="19" t="s">
        <v>189</v>
      </c>
      <c r="H12" s="19" t="s">
        <v>190</v>
      </c>
      <c r="I12" s="19" t="s">
        <v>191</v>
      </c>
      <c r="J12" s="19" t="s">
        <v>192</v>
      </c>
      <c r="K12" s="19" t="s">
        <v>193</v>
      </c>
    </row>
    <row r="13" customFormat="false" ht="39.55" hidden="true" customHeight="false" outlineLevel="1" collapsed="false">
      <c r="A13" s="19" t="s">
        <v>183</v>
      </c>
      <c r="B13" s="19" t="s">
        <v>194</v>
      </c>
      <c r="C13" s="19" t="s">
        <v>195</v>
      </c>
      <c r="D13" s="19" t="s">
        <v>196</v>
      </c>
      <c r="E13" s="19" t="s">
        <v>197</v>
      </c>
      <c r="F13" s="19" t="s">
        <v>198</v>
      </c>
      <c r="G13" s="19" t="s">
        <v>189</v>
      </c>
      <c r="H13" s="19" t="s">
        <v>190</v>
      </c>
      <c r="I13" s="19" t="s">
        <v>191</v>
      </c>
      <c r="J13" s="19" t="s">
        <v>199</v>
      </c>
      <c r="K13" s="19" t="s">
        <v>200</v>
      </c>
    </row>
    <row r="14" customFormat="false" ht="26.85" hidden="true" customHeight="false" outlineLevel="1" collapsed="false">
      <c r="A14" s="19" t="s">
        <v>183</v>
      </c>
      <c r="B14" s="19" t="s">
        <v>201</v>
      </c>
      <c r="C14" s="19" t="s">
        <v>202</v>
      </c>
      <c r="D14" s="19" t="s">
        <v>203</v>
      </c>
      <c r="E14" s="19" t="s">
        <v>204</v>
      </c>
      <c r="F14" s="19" t="s">
        <v>205</v>
      </c>
      <c r="G14" s="19" t="s">
        <v>189</v>
      </c>
      <c r="H14" s="19" t="s">
        <v>190</v>
      </c>
      <c r="I14" s="19" t="s">
        <v>191</v>
      </c>
      <c r="J14" s="19" t="s">
        <v>199</v>
      </c>
      <c r="K14" s="19" t="s">
        <v>206</v>
      </c>
    </row>
    <row r="15" customFormat="false" ht="26.85" hidden="true" customHeight="false" outlineLevel="1" collapsed="false">
      <c r="A15" s="19" t="s">
        <v>183</v>
      </c>
      <c r="B15" s="19" t="s">
        <v>207</v>
      </c>
      <c r="C15" s="19" t="s">
        <v>208</v>
      </c>
      <c r="D15" s="19" t="s">
        <v>203</v>
      </c>
      <c r="E15" s="19" t="s">
        <v>209</v>
      </c>
      <c r="F15" s="19" t="s">
        <v>210</v>
      </c>
      <c r="G15" s="19" t="s">
        <v>189</v>
      </c>
      <c r="H15" s="19" t="s">
        <v>190</v>
      </c>
      <c r="I15" s="19" t="s">
        <v>191</v>
      </c>
      <c r="J15" s="19" t="s">
        <v>199</v>
      </c>
      <c r="K15" s="19" t="s">
        <v>211</v>
      </c>
    </row>
    <row r="16" customFormat="false" ht="52.2" hidden="true" customHeight="false" outlineLevel="1" collapsed="false">
      <c r="A16" s="19" t="s">
        <v>183</v>
      </c>
      <c r="B16" s="19" t="s">
        <v>212</v>
      </c>
      <c r="C16" s="19" t="s">
        <v>213</v>
      </c>
      <c r="D16" s="19" t="s">
        <v>214</v>
      </c>
      <c r="E16" s="19" t="s">
        <v>215</v>
      </c>
      <c r="F16" s="19" t="s">
        <v>216</v>
      </c>
      <c r="G16" s="19" t="s">
        <v>189</v>
      </c>
      <c r="H16" s="19" t="s">
        <v>190</v>
      </c>
      <c r="I16" s="19" t="s">
        <v>191</v>
      </c>
      <c r="J16" s="19" t="s">
        <v>199</v>
      </c>
      <c r="K16" s="19" t="s">
        <v>217</v>
      </c>
    </row>
    <row r="17" customFormat="false" ht="26.85" hidden="true" customHeight="false" outlineLevel="1" collapsed="false">
      <c r="A17" s="19" t="s">
        <v>183</v>
      </c>
      <c r="B17" s="19" t="s">
        <v>218</v>
      </c>
      <c r="C17" s="19" t="s">
        <v>219</v>
      </c>
      <c r="D17" s="19" t="s">
        <v>186</v>
      </c>
      <c r="E17" s="19" t="s">
        <v>220</v>
      </c>
      <c r="F17" s="19" t="s">
        <v>221</v>
      </c>
      <c r="G17" s="19" t="s">
        <v>189</v>
      </c>
      <c r="H17" s="19" t="s">
        <v>190</v>
      </c>
      <c r="I17" s="19" t="s">
        <v>191</v>
      </c>
      <c r="J17" s="19" t="s">
        <v>199</v>
      </c>
      <c r="K17" s="19" t="s">
        <v>222</v>
      </c>
    </row>
    <row r="18" customFormat="false" ht="52.2" hidden="true" customHeight="false" outlineLevel="1" collapsed="false">
      <c r="A18" s="19" t="s">
        <v>183</v>
      </c>
      <c r="B18" s="19" t="s">
        <v>223</v>
      </c>
      <c r="C18" s="19" t="s">
        <v>224</v>
      </c>
      <c r="D18" s="19" t="s">
        <v>214</v>
      </c>
      <c r="E18" s="19" t="s">
        <v>225</v>
      </c>
      <c r="F18" s="19" t="s">
        <v>226</v>
      </c>
      <c r="G18" s="19" t="s">
        <v>189</v>
      </c>
      <c r="H18" s="19" t="s">
        <v>190</v>
      </c>
      <c r="I18" s="19" t="s">
        <v>191</v>
      </c>
      <c r="J18" s="19" t="s">
        <v>199</v>
      </c>
      <c r="K18" s="19" t="s">
        <v>227</v>
      </c>
    </row>
    <row r="19" customFormat="false" ht="26.85" hidden="true" customHeight="false" outlineLevel="1" collapsed="false">
      <c r="A19" s="19" t="s">
        <v>183</v>
      </c>
      <c r="B19" s="19" t="s">
        <v>228</v>
      </c>
      <c r="C19" s="19" t="s">
        <v>229</v>
      </c>
      <c r="D19" s="19" t="s">
        <v>186</v>
      </c>
      <c r="E19" s="19" t="s">
        <v>230</v>
      </c>
      <c r="F19" s="19" t="s">
        <v>231</v>
      </c>
      <c r="G19" s="19" t="s">
        <v>189</v>
      </c>
      <c r="H19" s="19" t="s">
        <v>190</v>
      </c>
      <c r="I19" s="19" t="s">
        <v>191</v>
      </c>
      <c r="J19" s="19" t="s">
        <v>199</v>
      </c>
      <c r="K19" s="19" t="s">
        <v>232</v>
      </c>
    </row>
    <row r="20" customFormat="false" ht="26.85" hidden="true" customHeight="false" outlineLevel="1" collapsed="false">
      <c r="A20" s="19" t="s">
        <v>183</v>
      </c>
      <c r="B20" s="19" t="s">
        <v>233</v>
      </c>
      <c r="C20" s="19" t="s">
        <v>234</v>
      </c>
      <c r="D20" s="19" t="s">
        <v>235</v>
      </c>
      <c r="E20" s="19" t="s">
        <v>236</v>
      </c>
      <c r="F20" s="19" t="s">
        <v>237</v>
      </c>
      <c r="G20" s="19" t="s">
        <v>189</v>
      </c>
      <c r="H20" s="19" t="s">
        <v>190</v>
      </c>
      <c r="I20" s="19" t="s">
        <v>191</v>
      </c>
      <c r="J20" s="19" t="s">
        <v>199</v>
      </c>
      <c r="K20" s="19" t="s">
        <v>238</v>
      </c>
    </row>
    <row r="21" customFormat="false" ht="39.55" hidden="true" customHeight="false" outlineLevel="1" collapsed="false">
      <c r="A21" s="19" t="s">
        <v>183</v>
      </c>
      <c r="B21" s="19" t="s">
        <v>239</v>
      </c>
      <c r="C21" s="19" t="s">
        <v>240</v>
      </c>
      <c r="D21" s="19" t="s">
        <v>186</v>
      </c>
      <c r="E21" s="19" t="s">
        <v>241</v>
      </c>
      <c r="F21" s="19" t="s">
        <v>242</v>
      </c>
      <c r="G21" s="19" t="s">
        <v>189</v>
      </c>
      <c r="H21" s="19" t="s">
        <v>190</v>
      </c>
      <c r="I21" s="19" t="s">
        <v>191</v>
      </c>
      <c r="J21" s="19" t="s">
        <v>199</v>
      </c>
      <c r="K21" s="19" t="s">
        <v>243</v>
      </c>
    </row>
    <row r="22" customFormat="false" ht="39.55" hidden="true" customHeight="false" outlineLevel="1" collapsed="false">
      <c r="A22" s="19" t="s">
        <v>183</v>
      </c>
      <c r="B22" s="19" t="s">
        <v>239</v>
      </c>
      <c r="C22" s="19" t="s">
        <v>244</v>
      </c>
      <c r="D22" s="19" t="s">
        <v>186</v>
      </c>
      <c r="E22" s="19" t="s">
        <v>245</v>
      </c>
      <c r="F22" s="19" t="s">
        <v>246</v>
      </c>
      <c r="G22" s="19" t="s">
        <v>189</v>
      </c>
      <c r="H22" s="19" t="s">
        <v>190</v>
      </c>
      <c r="I22" s="19" t="s">
        <v>191</v>
      </c>
      <c r="J22" s="19" t="s">
        <v>199</v>
      </c>
      <c r="K22" s="19" t="s">
        <v>247</v>
      </c>
    </row>
    <row r="23" customFormat="false" ht="15.75" hidden="false" customHeight="false" outlineLevel="0" collapsed="false">
      <c r="A23" s="15" t="s">
        <v>248</v>
      </c>
      <c r="B23" s="16"/>
      <c r="C23" s="16"/>
      <c r="D23" s="16"/>
      <c r="E23" s="16"/>
      <c r="F23" s="16"/>
      <c r="G23" s="16"/>
      <c r="H23" s="16"/>
      <c r="I23" s="16"/>
      <c r="J23" s="16"/>
      <c r="K23" s="16"/>
    </row>
    <row r="24" customFormat="false" ht="39.55" hidden="true" customHeight="false" outlineLevel="1" collapsed="false">
      <c r="A24" s="17" t="s">
        <v>248</v>
      </c>
      <c r="B24" s="18" t="n">
        <v>1</v>
      </c>
      <c r="C24" s="17" t="s">
        <v>249</v>
      </c>
      <c r="D24" s="17" t="s">
        <v>149</v>
      </c>
      <c r="E24" s="17" t="s">
        <v>250</v>
      </c>
      <c r="F24" s="17" t="s">
        <v>251</v>
      </c>
      <c r="G24" s="17" t="s">
        <v>252</v>
      </c>
      <c r="H24" s="17" t="s">
        <v>253</v>
      </c>
      <c r="I24" s="17" t="s">
        <v>254</v>
      </c>
      <c r="J24" s="17" t="s">
        <v>255</v>
      </c>
      <c r="K24" s="17" t="s">
        <v>256</v>
      </c>
    </row>
    <row r="25" customFormat="false" ht="39.55" hidden="true" customHeight="false" outlineLevel="1" collapsed="false">
      <c r="A25" s="17" t="s">
        <v>248</v>
      </c>
      <c r="B25" s="18" t="n">
        <v>2</v>
      </c>
      <c r="C25" s="17" t="s">
        <v>257</v>
      </c>
      <c r="D25" s="17" t="s">
        <v>149</v>
      </c>
      <c r="E25" s="17" t="s">
        <v>258</v>
      </c>
      <c r="F25" s="17" t="s">
        <v>259</v>
      </c>
      <c r="G25" s="17" t="s">
        <v>252</v>
      </c>
      <c r="H25" s="17" t="s">
        <v>253</v>
      </c>
      <c r="I25" s="17" t="s">
        <v>254</v>
      </c>
      <c r="J25" s="17" t="s">
        <v>255</v>
      </c>
      <c r="K25" s="17" t="s">
        <v>260</v>
      </c>
    </row>
    <row r="26" customFormat="false" ht="26.85" hidden="true" customHeight="false" outlineLevel="1" collapsed="false">
      <c r="A26" s="17" t="s">
        <v>248</v>
      </c>
      <c r="B26" s="18" t="n">
        <v>3</v>
      </c>
      <c r="C26" s="17" t="s">
        <v>261</v>
      </c>
      <c r="D26" s="17" t="s">
        <v>149</v>
      </c>
      <c r="E26" s="17" t="s">
        <v>262</v>
      </c>
      <c r="F26" s="17" t="s">
        <v>263</v>
      </c>
      <c r="G26" s="17" t="s">
        <v>252</v>
      </c>
      <c r="H26" s="17" t="s">
        <v>253</v>
      </c>
      <c r="I26" s="17" t="s">
        <v>254</v>
      </c>
      <c r="J26" s="17" t="s">
        <v>255</v>
      </c>
      <c r="K26" s="17" t="s">
        <v>264</v>
      </c>
    </row>
    <row r="27" customFormat="false" ht="39.55" hidden="true" customHeight="false" outlineLevel="1" collapsed="false">
      <c r="A27" s="17" t="s">
        <v>248</v>
      </c>
      <c r="B27" s="18" t="n">
        <v>4</v>
      </c>
      <c r="C27" s="17" t="s">
        <v>265</v>
      </c>
      <c r="D27" s="17" t="s">
        <v>149</v>
      </c>
      <c r="E27" s="17" t="s">
        <v>266</v>
      </c>
      <c r="F27" s="17" t="s">
        <v>267</v>
      </c>
      <c r="G27" s="17" t="s">
        <v>252</v>
      </c>
      <c r="H27" s="17" t="s">
        <v>253</v>
      </c>
      <c r="I27" s="17" t="s">
        <v>254</v>
      </c>
      <c r="J27" s="17" t="s">
        <v>255</v>
      </c>
      <c r="K27" s="17" t="s">
        <v>268</v>
      </c>
    </row>
    <row r="28" customFormat="false" ht="39.55" hidden="true" customHeight="false" outlineLevel="1" collapsed="false">
      <c r="A28" s="17" t="s">
        <v>248</v>
      </c>
      <c r="B28" s="18" t="n">
        <v>5</v>
      </c>
      <c r="C28" s="17" t="s">
        <v>269</v>
      </c>
      <c r="D28" s="17" t="s">
        <v>270</v>
      </c>
      <c r="E28" s="17" t="s">
        <v>271</v>
      </c>
      <c r="F28" s="17" t="s">
        <v>272</v>
      </c>
      <c r="G28" s="17" t="s">
        <v>252</v>
      </c>
      <c r="H28" s="17" t="s">
        <v>253</v>
      </c>
      <c r="I28" s="17" t="s">
        <v>254</v>
      </c>
      <c r="J28" s="17" t="s">
        <v>255</v>
      </c>
      <c r="K28" s="17" t="s">
        <v>273</v>
      </c>
    </row>
    <row r="29" customFormat="false" ht="26.85" hidden="true" customHeight="false" outlineLevel="1" collapsed="false">
      <c r="A29" s="17" t="s">
        <v>248</v>
      </c>
      <c r="B29" s="18" t="n">
        <v>6</v>
      </c>
      <c r="C29" s="17" t="s">
        <v>274</v>
      </c>
      <c r="D29" s="17" t="s">
        <v>149</v>
      </c>
      <c r="E29" s="17" t="s">
        <v>275</v>
      </c>
      <c r="F29" s="17" t="s">
        <v>276</v>
      </c>
      <c r="G29" s="17" t="s">
        <v>252</v>
      </c>
      <c r="H29" s="17" t="s">
        <v>253</v>
      </c>
      <c r="I29" s="17" t="s">
        <v>254</v>
      </c>
      <c r="J29" s="17" t="s">
        <v>255</v>
      </c>
      <c r="K29" s="17" t="s">
        <v>277</v>
      </c>
    </row>
    <row r="30" customFormat="false" ht="26.85" hidden="true" customHeight="false" outlineLevel="1" collapsed="false">
      <c r="A30" s="17" t="s">
        <v>248</v>
      </c>
      <c r="B30" s="18" t="n">
        <v>7</v>
      </c>
      <c r="C30" s="17" t="s">
        <v>278</v>
      </c>
      <c r="D30" s="17" t="s">
        <v>149</v>
      </c>
      <c r="E30" s="17" t="s">
        <v>279</v>
      </c>
      <c r="F30" s="17" t="s">
        <v>280</v>
      </c>
      <c r="G30" s="17" t="s">
        <v>252</v>
      </c>
      <c r="H30" s="17" t="s">
        <v>253</v>
      </c>
      <c r="I30" s="17" t="s">
        <v>254</v>
      </c>
      <c r="J30" s="17" t="s">
        <v>255</v>
      </c>
      <c r="K30" s="17" t="s">
        <v>281</v>
      </c>
    </row>
    <row r="31" customFormat="false" ht="15.75" hidden="false" customHeight="false" outlineLevel="0" collapsed="false">
      <c r="A31" s="15" t="s">
        <v>72</v>
      </c>
      <c r="B31" s="16"/>
      <c r="C31" s="16"/>
      <c r="D31" s="16"/>
      <c r="E31" s="16"/>
      <c r="F31" s="16"/>
      <c r="G31" s="16"/>
      <c r="H31" s="16"/>
      <c r="I31" s="16"/>
      <c r="J31" s="16"/>
      <c r="K31" s="16"/>
    </row>
    <row r="32" customFormat="false" ht="52.2" hidden="false" customHeight="false" outlineLevel="1" collapsed="false">
      <c r="A32" s="19" t="s">
        <v>72</v>
      </c>
      <c r="B32" s="20" t="n">
        <v>1</v>
      </c>
      <c r="C32" s="19" t="s">
        <v>282</v>
      </c>
      <c r="D32" s="19" t="s">
        <v>149</v>
      </c>
      <c r="E32" s="19" t="s">
        <v>283</v>
      </c>
      <c r="F32" s="19" t="s">
        <v>284</v>
      </c>
      <c r="G32" s="19" t="s">
        <v>285</v>
      </c>
      <c r="H32" s="19" t="s">
        <v>286</v>
      </c>
      <c r="I32" s="19" t="s">
        <v>287</v>
      </c>
      <c r="J32" s="19" t="s">
        <v>155</v>
      </c>
      <c r="K32" s="19" t="s">
        <v>288</v>
      </c>
    </row>
    <row r="33" customFormat="false" ht="52.2" hidden="false" customHeight="false" outlineLevel="1" collapsed="false">
      <c r="A33" s="19" t="s">
        <v>72</v>
      </c>
      <c r="B33" s="20" t="n">
        <v>2</v>
      </c>
      <c r="C33" s="19" t="s">
        <v>289</v>
      </c>
      <c r="D33" s="19" t="s">
        <v>149</v>
      </c>
      <c r="E33" s="19" t="s">
        <v>290</v>
      </c>
      <c r="F33" s="19" t="s">
        <v>291</v>
      </c>
      <c r="G33" s="19" t="s">
        <v>285</v>
      </c>
      <c r="H33" s="19" t="s">
        <v>286</v>
      </c>
      <c r="I33" s="19" t="s">
        <v>287</v>
      </c>
      <c r="J33" s="19" t="s">
        <v>155</v>
      </c>
      <c r="K33" s="19" t="s">
        <v>292</v>
      </c>
    </row>
    <row r="34" customFormat="false" ht="39.55" hidden="false" customHeight="false" outlineLevel="1" collapsed="false">
      <c r="A34" s="19" t="s">
        <v>72</v>
      </c>
      <c r="B34" s="20" t="n">
        <v>3</v>
      </c>
      <c r="C34" s="19" t="s">
        <v>293</v>
      </c>
      <c r="D34" s="19" t="s">
        <v>149</v>
      </c>
      <c r="E34" s="19" t="s">
        <v>294</v>
      </c>
      <c r="F34" s="19" t="s">
        <v>295</v>
      </c>
      <c r="G34" s="19" t="s">
        <v>285</v>
      </c>
      <c r="H34" s="19" t="s">
        <v>286</v>
      </c>
      <c r="I34" s="19" t="s">
        <v>287</v>
      </c>
      <c r="J34" s="19" t="s">
        <v>155</v>
      </c>
      <c r="K34" s="19" t="s">
        <v>296</v>
      </c>
    </row>
    <row r="35" customFormat="false" ht="39.55" hidden="false" customHeight="false" outlineLevel="1" collapsed="false">
      <c r="A35" s="19" t="s">
        <v>72</v>
      </c>
      <c r="B35" s="20" t="n">
        <v>4</v>
      </c>
      <c r="C35" s="19" t="s">
        <v>297</v>
      </c>
      <c r="D35" s="19" t="s">
        <v>149</v>
      </c>
      <c r="E35" s="19" t="s">
        <v>298</v>
      </c>
      <c r="F35" s="19" t="s">
        <v>299</v>
      </c>
      <c r="G35" s="19" t="s">
        <v>285</v>
      </c>
      <c r="H35" s="19" t="s">
        <v>286</v>
      </c>
      <c r="I35" s="19" t="s">
        <v>287</v>
      </c>
      <c r="J35" s="19" t="s">
        <v>155</v>
      </c>
      <c r="K35" s="19" t="s">
        <v>300</v>
      </c>
    </row>
    <row r="36" customFormat="false" ht="39.55" hidden="false" customHeight="false" outlineLevel="1" collapsed="false">
      <c r="A36" s="19" t="s">
        <v>72</v>
      </c>
      <c r="B36" s="20" t="n">
        <v>5</v>
      </c>
      <c r="C36" s="19" t="s">
        <v>301</v>
      </c>
      <c r="D36" s="19" t="s">
        <v>149</v>
      </c>
      <c r="E36" s="19" t="s">
        <v>302</v>
      </c>
      <c r="F36" s="19" t="s">
        <v>303</v>
      </c>
      <c r="G36" s="19" t="s">
        <v>285</v>
      </c>
      <c r="H36" s="19" t="s">
        <v>286</v>
      </c>
      <c r="I36" s="19" t="s">
        <v>287</v>
      </c>
      <c r="J36" s="19" t="s">
        <v>155</v>
      </c>
      <c r="K36" s="19" t="s">
        <v>304</v>
      </c>
    </row>
    <row r="37" customFormat="false" ht="52.2" hidden="false" customHeight="false" outlineLevel="1" collapsed="false">
      <c r="A37" s="19" t="s">
        <v>72</v>
      </c>
      <c r="B37" s="20" t="n">
        <v>6</v>
      </c>
      <c r="C37" s="19" t="s">
        <v>305</v>
      </c>
      <c r="D37" s="19" t="s">
        <v>149</v>
      </c>
      <c r="E37" s="19" t="s">
        <v>306</v>
      </c>
      <c r="F37" s="19" t="s">
        <v>307</v>
      </c>
      <c r="G37" s="19" t="s">
        <v>285</v>
      </c>
      <c r="H37" s="19" t="s">
        <v>286</v>
      </c>
      <c r="I37" s="19" t="s">
        <v>287</v>
      </c>
      <c r="J37" s="19" t="s">
        <v>155</v>
      </c>
      <c r="K37" s="19" t="s">
        <v>308</v>
      </c>
    </row>
    <row r="38" customFormat="false" ht="52.2" hidden="false" customHeight="false" outlineLevel="1" collapsed="false">
      <c r="A38" s="19" t="s">
        <v>72</v>
      </c>
      <c r="B38" s="20" t="n">
        <v>7</v>
      </c>
      <c r="C38" s="19" t="s">
        <v>309</v>
      </c>
      <c r="D38" s="19" t="s">
        <v>149</v>
      </c>
      <c r="E38" s="19" t="s">
        <v>310</v>
      </c>
      <c r="F38" s="19" t="s">
        <v>311</v>
      </c>
      <c r="G38" s="19" t="s">
        <v>285</v>
      </c>
      <c r="H38" s="19" t="s">
        <v>286</v>
      </c>
      <c r="I38" s="19" t="s">
        <v>287</v>
      </c>
      <c r="J38" s="19" t="s">
        <v>155</v>
      </c>
      <c r="K38" s="19" t="s">
        <v>312</v>
      </c>
    </row>
    <row r="39" customFormat="false" ht="52.2" hidden="false" customHeight="false" outlineLevel="1" collapsed="false">
      <c r="A39" s="19" t="s">
        <v>72</v>
      </c>
      <c r="B39" s="20" t="n">
        <v>8</v>
      </c>
      <c r="C39" s="19" t="s">
        <v>313</v>
      </c>
      <c r="D39" s="19" t="s">
        <v>149</v>
      </c>
      <c r="E39" s="19" t="s">
        <v>314</v>
      </c>
      <c r="F39" s="19" t="s">
        <v>315</v>
      </c>
      <c r="G39" s="19" t="s">
        <v>285</v>
      </c>
      <c r="H39" s="19" t="s">
        <v>286</v>
      </c>
      <c r="I39" s="19" t="s">
        <v>287</v>
      </c>
      <c r="J39" s="19" t="s">
        <v>155</v>
      </c>
      <c r="K39" s="19" t="s">
        <v>316</v>
      </c>
    </row>
    <row r="40" customFormat="false" ht="39.55" hidden="false" customHeight="false" outlineLevel="1" collapsed="false">
      <c r="A40" s="19" t="s">
        <v>72</v>
      </c>
      <c r="B40" s="20" t="n">
        <v>9</v>
      </c>
      <c r="C40" s="19" t="s">
        <v>317</v>
      </c>
      <c r="D40" s="19" t="s">
        <v>149</v>
      </c>
      <c r="E40" s="19" t="s">
        <v>318</v>
      </c>
      <c r="F40" s="19" t="s">
        <v>319</v>
      </c>
      <c r="G40" s="19" t="s">
        <v>285</v>
      </c>
      <c r="H40" s="19" t="s">
        <v>286</v>
      </c>
      <c r="I40" s="19" t="s">
        <v>287</v>
      </c>
      <c r="J40" s="19" t="s">
        <v>155</v>
      </c>
      <c r="K40" s="19" t="s">
        <v>320</v>
      </c>
    </row>
    <row r="41" customFormat="false" ht="39.55" hidden="false" customHeight="false" outlineLevel="1" collapsed="false">
      <c r="A41" s="19" t="s">
        <v>72</v>
      </c>
      <c r="B41" s="20" t="n">
        <v>10</v>
      </c>
      <c r="C41" s="19" t="s">
        <v>321</v>
      </c>
      <c r="D41" s="19" t="s">
        <v>322</v>
      </c>
      <c r="E41" s="19" t="s">
        <v>323</v>
      </c>
      <c r="F41" s="19" t="s">
        <v>324</v>
      </c>
      <c r="G41" s="19" t="s">
        <v>285</v>
      </c>
      <c r="H41" s="19" t="s">
        <v>286</v>
      </c>
      <c r="I41" s="19" t="s">
        <v>287</v>
      </c>
      <c r="J41" s="19" t="s">
        <v>155</v>
      </c>
      <c r="K41" s="19" t="s">
        <v>325</v>
      </c>
    </row>
    <row r="42" customFormat="false" ht="15.75" hidden="false" customHeight="false" outlineLevel="0" collapsed="false">
      <c r="A42" s="15" t="s">
        <v>326</v>
      </c>
      <c r="B42" s="16"/>
      <c r="C42" s="16"/>
      <c r="D42" s="16"/>
      <c r="E42" s="16"/>
      <c r="F42" s="16"/>
      <c r="G42" s="16"/>
      <c r="H42" s="16"/>
      <c r="I42" s="16"/>
      <c r="J42" s="16"/>
      <c r="K42" s="16"/>
    </row>
    <row r="43" customFormat="false" ht="52.2" hidden="false" customHeight="false" outlineLevel="1" collapsed="false">
      <c r="A43" s="17" t="s">
        <v>326</v>
      </c>
      <c r="B43" s="18" t="n">
        <v>1</v>
      </c>
      <c r="C43" s="17" t="s">
        <v>327</v>
      </c>
      <c r="D43" s="17" t="s">
        <v>149</v>
      </c>
      <c r="E43" s="17" t="s">
        <v>328</v>
      </c>
      <c r="F43" s="17" t="s">
        <v>329</v>
      </c>
      <c r="G43" s="17" t="s">
        <v>330</v>
      </c>
      <c r="H43" s="17" t="s">
        <v>331</v>
      </c>
      <c r="I43" s="17" t="s">
        <v>332</v>
      </c>
      <c r="J43" s="17" t="s">
        <v>155</v>
      </c>
      <c r="K43" s="17" t="s">
        <v>333</v>
      </c>
    </row>
    <row r="44" customFormat="false" ht="52.2" hidden="false" customHeight="false" outlineLevel="1" collapsed="false">
      <c r="A44" s="17" t="s">
        <v>326</v>
      </c>
      <c r="B44" s="18" t="n">
        <v>2</v>
      </c>
      <c r="C44" s="17" t="s">
        <v>334</v>
      </c>
      <c r="D44" s="17" t="s">
        <v>149</v>
      </c>
      <c r="E44" s="17" t="s">
        <v>335</v>
      </c>
      <c r="F44" s="17" t="s">
        <v>336</v>
      </c>
      <c r="G44" s="17" t="s">
        <v>330</v>
      </c>
      <c r="H44" s="17" t="s">
        <v>331</v>
      </c>
      <c r="I44" s="17" t="s">
        <v>332</v>
      </c>
      <c r="J44" s="17" t="s">
        <v>155</v>
      </c>
      <c r="K44" s="17" t="s">
        <v>337</v>
      </c>
    </row>
    <row r="45" customFormat="false" ht="52.2" hidden="false" customHeight="false" outlineLevel="1" collapsed="false">
      <c r="A45" s="17" t="s">
        <v>326</v>
      </c>
      <c r="B45" s="18" t="n">
        <v>3</v>
      </c>
      <c r="C45" s="17" t="s">
        <v>338</v>
      </c>
      <c r="D45" s="17" t="s">
        <v>149</v>
      </c>
      <c r="E45" s="17" t="s">
        <v>339</v>
      </c>
      <c r="F45" s="17" t="s">
        <v>340</v>
      </c>
      <c r="G45" s="17" t="s">
        <v>330</v>
      </c>
      <c r="H45" s="17" t="s">
        <v>331</v>
      </c>
      <c r="I45" s="17" t="s">
        <v>332</v>
      </c>
      <c r="J45" s="17" t="s">
        <v>155</v>
      </c>
      <c r="K45" s="17" t="s">
        <v>337</v>
      </c>
    </row>
    <row r="46" customFormat="false" ht="52.2" hidden="false" customHeight="false" outlineLevel="1" collapsed="false">
      <c r="A46" s="17" t="s">
        <v>326</v>
      </c>
      <c r="B46" s="18" t="n">
        <v>4</v>
      </c>
      <c r="C46" s="17" t="s">
        <v>341</v>
      </c>
      <c r="D46" s="17" t="s">
        <v>149</v>
      </c>
      <c r="E46" s="17" t="s">
        <v>342</v>
      </c>
      <c r="F46" s="17" t="s">
        <v>343</v>
      </c>
      <c r="G46" s="17" t="s">
        <v>330</v>
      </c>
      <c r="H46" s="17" t="s">
        <v>331</v>
      </c>
      <c r="I46" s="17" t="s">
        <v>332</v>
      </c>
      <c r="J46" s="17" t="s">
        <v>155</v>
      </c>
      <c r="K46" s="17" t="s">
        <v>344</v>
      </c>
    </row>
    <row r="47" customFormat="false" ht="52.2" hidden="false" customHeight="false" outlineLevel="1" collapsed="false">
      <c r="A47" s="17" t="s">
        <v>326</v>
      </c>
      <c r="B47" s="18" t="n">
        <v>5</v>
      </c>
      <c r="C47" s="17" t="s">
        <v>345</v>
      </c>
      <c r="D47" s="17" t="s">
        <v>149</v>
      </c>
      <c r="E47" s="17" t="s">
        <v>346</v>
      </c>
      <c r="F47" s="17" t="s">
        <v>347</v>
      </c>
      <c r="G47" s="17" t="s">
        <v>330</v>
      </c>
      <c r="H47" s="17" t="s">
        <v>331</v>
      </c>
      <c r="I47" s="17" t="s">
        <v>332</v>
      </c>
      <c r="J47" s="17" t="s">
        <v>155</v>
      </c>
      <c r="K47" s="17" t="s">
        <v>348</v>
      </c>
    </row>
    <row r="48" customFormat="false" ht="52.2" hidden="false" customHeight="false" outlineLevel="1" collapsed="false">
      <c r="A48" s="17" t="s">
        <v>326</v>
      </c>
      <c r="B48" s="18" t="n">
        <v>6</v>
      </c>
      <c r="C48" s="17" t="s">
        <v>349</v>
      </c>
      <c r="D48" s="17" t="s">
        <v>149</v>
      </c>
      <c r="E48" s="17" t="s">
        <v>350</v>
      </c>
      <c r="F48" s="17" t="s">
        <v>351</v>
      </c>
      <c r="G48" s="17" t="s">
        <v>330</v>
      </c>
      <c r="H48" s="17" t="s">
        <v>331</v>
      </c>
      <c r="I48" s="17" t="s">
        <v>332</v>
      </c>
      <c r="J48" s="17" t="s">
        <v>155</v>
      </c>
      <c r="K48" s="17" t="s">
        <v>352</v>
      </c>
    </row>
    <row r="49" customFormat="false" ht="52.2" hidden="false" customHeight="false" outlineLevel="1" collapsed="false">
      <c r="A49" s="17" t="s">
        <v>326</v>
      </c>
      <c r="B49" s="18" t="n">
        <v>7</v>
      </c>
      <c r="C49" s="17" t="s">
        <v>353</v>
      </c>
      <c r="D49" s="17" t="s">
        <v>149</v>
      </c>
      <c r="E49" s="17" t="s">
        <v>354</v>
      </c>
      <c r="F49" s="17" t="s">
        <v>355</v>
      </c>
      <c r="G49" s="17" t="s">
        <v>330</v>
      </c>
      <c r="H49" s="17" t="s">
        <v>331</v>
      </c>
      <c r="I49" s="17" t="s">
        <v>332</v>
      </c>
      <c r="J49" s="17" t="s">
        <v>155</v>
      </c>
      <c r="K49" s="17" t="s">
        <v>356</v>
      </c>
    </row>
    <row r="50" customFormat="false" ht="52.2" hidden="false" customHeight="false" outlineLevel="1" collapsed="false">
      <c r="A50" s="17" t="s">
        <v>326</v>
      </c>
      <c r="B50" s="18" t="n">
        <v>8</v>
      </c>
      <c r="C50" s="17" t="s">
        <v>357</v>
      </c>
      <c r="D50" s="17" t="s">
        <v>149</v>
      </c>
      <c r="E50" s="17" t="s">
        <v>358</v>
      </c>
      <c r="F50" s="17" t="s">
        <v>359</v>
      </c>
      <c r="G50" s="17" t="s">
        <v>330</v>
      </c>
      <c r="H50" s="17" t="s">
        <v>331</v>
      </c>
      <c r="I50" s="17" t="s">
        <v>332</v>
      </c>
      <c r="J50" s="17" t="s">
        <v>155</v>
      </c>
      <c r="K50" s="17" t="s">
        <v>360</v>
      </c>
    </row>
    <row r="51" customFormat="false" ht="15.75" hidden="false" customHeight="false" outlineLevel="0" collapsed="false">
      <c r="A51" s="15" t="s">
        <v>361</v>
      </c>
      <c r="B51" s="16"/>
      <c r="C51" s="16"/>
      <c r="D51" s="16"/>
      <c r="E51" s="16"/>
      <c r="F51" s="16"/>
      <c r="G51" s="16"/>
      <c r="H51" s="16"/>
      <c r="I51" s="16"/>
      <c r="J51" s="16"/>
      <c r="K51" s="16"/>
    </row>
    <row r="52" customFormat="false" ht="64.9" hidden="false" customHeight="false" outlineLevel="1" collapsed="false">
      <c r="A52" s="19" t="s">
        <v>361</v>
      </c>
      <c r="B52" s="20" t="n">
        <v>1</v>
      </c>
      <c r="C52" s="19" t="s">
        <v>362</v>
      </c>
      <c r="D52" s="19" t="s">
        <v>149</v>
      </c>
      <c r="E52" s="19" t="s">
        <v>363</v>
      </c>
      <c r="F52" s="19" t="s">
        <v>364</v>
      </c>
      <c r="G52" s="19" t="s">
        <v>330</v>
      </c>
      <c r="H52" s="19" t="s">
        <v>365</v>
      </c>
      <c r="I52" s="19" t="s">
        <v>332</v>
      </c>
      <c r="J52" s="19" t="s">
        <v>155</v>
      </c>
      <c r="K52" s="19" t="s">
        <v>366</v>
      </c>
    </row>
    <row r="53" customFormat="false" ht="64.9" hidden="false" customHeight="false" outlineLevel="1" collapsed="false">
      <c r="A53" s="19" t="s">
        <v>361</v>
      </c>
      <c r="B53" s="20" t="n">
        <v>2</v>
      </c>
      <c r="C53" s="19" t="s">
        <v>367</v>
      </c>
      <c r="D53" s="19" t="s">
        <v>149</v>
      </c>
      <c r="E53" s="19" t="s">
        <v>368</v>
      </c>
      <c r="F53" s="19" t="s">
        <v>369</v>
      </c>
      <c r="G53" s="19" t="s">
        <v>330</v>
      </c>
      <c r="H53" s="19" t="s">
        <v>365</v>
      </c>
      <c r="I53" s="19" t="s">
        <v>332</v>
      </c>
      <c r="J53" s="19" t="s">
        <v>155</v>
      </c>
      <c r="K53" s="19" t="s">
        <v>370</v>
      </c>
    </row>
    <row r="54" customFormat="false" ht="64.9" hidden="false" customHeight="false" outlineLevel="1" collapsed="false">
      <c r="A54" s="19" t="s">
        <v>361</v>
      </c>
      <c r="B54" s="20" t="n">
        <v>3</v>
      </c>
      <c r="C54" s="19" t="s">
        <v>371</v>
      </c>
      <c r="D54" s="19" t="s">
        <v>149</v>
      </c>
      <c r="E54" s="19" t="s">
        <v>372</v>
      </c>
      <c r="F54" s="19" t="s">
        <v>373</v>
      </c>
      <c r="G54" s="19" t="s">
        <v>330</v>
      </c>
      <c r="H54" s="19" t="s">
        <v>365</v>
      </c>
      <c r="I54" s="19" t="s">
        <v>332</v>
      </c>
      <c r="J54" s="19" t="s">
        <v>155</v>
      </c>
      <c r="K54" s="19" t="s">
        <v>374</v>
      </c>
    </row>
    <row r="55" customFormat="false" ht="64.9" hidden="false" customHeight="false" outlineLevel="1" collapsed="false">
      <c r="A55" s="19" t="s">
        <v>361</v>
      </c>
      <c r="B55" s="20" t="n">
        <v>4</v>
      </c>
      <c r="C55" s="19" t="s">
        <v>375</v>
      </c>
      <c r="D55" s="19" t="s">
        <v>149</v>
      </c>
      <c r="E55" s="19" t="s">
        <v>376</v>
      </c>
      <c r="F55" s="19" t="s">
        <v>377</v>
      </c>
      <c r="G55" s="19" t="s">
        <v>330</v>
      </c>
      <c r="H55" s="19" t="s">
        <v>365</v>
      </c>
      <c r="I55" s="19" t="s">
        <v>332</v>
      </c>
      <c r="J55" s="19" t="s">
        <v>155</v>
      </c>
      <c r="K55" s="19" t="s">
        <v>378</v>
      </c>
    </row>
    <row r="56" customFormat="false" ht="64.9" hidden="false" customHeight="false" outlineLevel="1" collapsed="false">
      <c r="A56" s="19" t="s">
        <v>361</v>
      </c>
      <c r="B56" s="20" t="n">
        <v>5</v>
      </c>
      <c r="C56" s="19" t="s">
        <v>379</v>
      </c>
      <c r="D56" s="19" t="s">
        <v>149</v>
      </c>
      <c r="E56" s="19" t="s">
        <v>380</v>
      </c>
      <c r="F56" s="19" t="s">
        <v>381</v>
      </c>
      <c r="G56" s="19" t="s">
        <v>330</v>
      </c>
      <c r="H56" s="19" t="s">
        <v>365</v>
      </c>
      <c r="I56" s="19" t="s">
        <v>332</v>
      </c>
      <c r="J56" s="19" t="s">
        <v>155</v>
      </c>
      <c r="K56" s="19" t="s">
        <v>382</v>
      </c>
    </row>
    <row r="57" customFormat="false" ht="64.9" hidden="false" customHeight="false" outlineLevel="1" collapsed="false">
      <c r="A57" s="19" t="s">
        <v>361</v>
      </c>
      <c r="B57" s="20" t="n">
        <v>6</v>
      </c>
      <c r="C57" s="19" t="s">
        <v>383</v>
      </c>
      <c r="D57" s="19" t="s">
        <v>149</v>
      </c>
      <c r="E57" s="19" t="s">
        <v>384</v>
      </c>
      <c r="F57" s="19" t="s">
        <v>385</v>
      </c>
      <c r="G57" s="19" t="s">
        <v>330</v>
      </c>
      <c r="H57" s="19" t="s">
        <v>365</v>
      </c>
      <c r="I57" s="19" t="s">
        <v>332</v>
      </c>
      <c r="J57" s="19" t="s">
        <v>155</v>
      </c>
      <c r="K57" s="19" t="s">
        <v>378</v>
      </c>
    </row>
    <row r="58" customFormat="false" ht="64.9" hidden="false" customHeight="false" outlineLevel="1" collapsed="false">
      <c r="A58" s="19" t="s">
        <v>361</v>
      </c>
      <c r="B58" s="20" t="n">
        <v>7</v>
      </c>
      <c r="C58" s="19" t="s">
        <v>386</v>
      </c>
      <c r="D58" s="19" t="s">
        <v>149</v>
      </c>
      <c r="E58" s="19" t="s">
        <v>387</v>
      </c>
      <c r="F58" s="19" t="s">
        <v>388</v>
      </c>
      <c r="G58" s="19" t="s">
        <v>330</v>
      </c>
      <c r="H58" s="19" t="s">
        <v>365</v>
      </c>
      <c r="I58" s="19" t="s">
        <v>332</v>
      </c>
      <c r="J58" s="19" t="s">
        <v>155</v>
      </c>
      <c r="K58" s="19" t="s">
        <v>389</v>
      </c>
    </row>
    <row r="59" customFormat="false" ht="15.75" hidden="false" customHeight="false" outlineLevel="0" collapsed="false">
      <c r="A59" s="15" t="s">
        <v>390</v>
      </c>
      <c r="B59" s="16"/>
      <c r="C59" s="16"/>
      <c r="D59" s="16"/>
      <c r="E59" s="16"/>
      <c r="F59" s="16"/>
      <c r="G59" s="16"/>
      <c r="H59" s="16"/>
      <c r="I59" s="16"/>
      <c r="J59" s="16"/>
      <c r="K59" s="16"/>
    </row>
    <row r="60" customFormat="false" ht="39.55" hidden="false" customHeight="false" outlineLevel="1" collapsed="false">
      <c r="A60" s="17" t="s">
        <v>390</v>
      </c>
      <c r="B60" s="18" t="n">
        <v>1</v>
      </c>
      <c r="C60" s="17" t="s">
        <v>391</v>
      </c>
      <c r="D60" s="17" t="s">
        <v>392</v>
      </c>
      <c r="E60" s="17" t="s">
        <v>393</v>
      </c>
      <c r="F60" s="17" t="s">
        <v>394</v>
      </c>
      <c r="G60" s="17" t="s">
        <v>395</v>
      </c>
      <c r="H60" s="17" t="s">
        <v>396</v>
      </c>
      <c r="I60" s="17" t="s">
        <v>397</v>
      </c>
      <c r="J60" s="17" t="s">
        <v>398</v>
      </c>
      <c r="K60" s="17" t="s">
        <v>399</v>
      </c>
    </row>
    <row r="61" customFormat="false" ht="39.55" hidden="false" customHeight="false" outlineLevel="1" collapsed="false">
      <c r="A61" s="17" t="s">
        <v>390</v>
      </c>
      <c r="B61" s="18" t="n">
        <v>2</v>
      </c>
      <c r="C61" s="17" t="s">
        <v>400</v>
      </c>
      <c r="D61" s="17" t="s">
        <v>392</v>
      </c>
      <c r="E61" s="17" t="s">
        <v>401</v>
      </c>
      <c r="F61" s="17" t="s">
        <v>402</v>
      </c>
      <c r="G61" s="17" t="s">
        <v>395</v>
      </c>
      <c r="H61" s="17" t="s">
        <v>396</v>
      </c>
      <c r="I61" s="17" t="s">
        <v>397</v>
      </c>
      <c r="J61" s="17" t="s">
        <v>403</v>
      </c>
      <c r="K61" s="17" t="s">
        <v>404</v>
      </c>
    </row>
    <row r="62" customFormat="false" ht="39.55" hidden="false" customHeight="false" outlineLevel="1" collapsed="false">
      <c r="A62" s="17" t="s">
        <v>390</v>
      </c>
      <c r="B62" s="18" t="n">
        <v>3</v>
      </c>
      <c r="C62" s="17" t="s">
        <v>405</v>
      </c>
      <c r="D62" s="17" t="s">
        <v>392</v>
      </c>
      <c r="E62" s="17" t="s">
        <v>406</v>
      </c>
      <c r="F62" s="17" t="s">
        <v>407</v>
      </c>
      <c r="G62" s="17" t="s">
        <v>395</v>
      </c>
      <c r="H62" s="17" t="s">
        <v>396</v>
      </c>
      <c r="I62" s="17" t="s">
        <v>397</v>
      </c>
      <c r="J62" s="17" t="s">
        <v>403</v>
      </c>
      <c r="K62" s="17" t="s">
        <v>399</v>
      </c>
    </row>
    <row r="63" customFormat="false" ht="39.55" hidden="false" customHeight="false" outlineLevel="1" collapsed="false">
      <c r="A63" s="17" t="s">
        <v>390</v>
      </c>
      <c r="B63" s="18" t="n">
        <v>4</v>
      </c>
      <c r="C63" s="17" t="s">
        <v>408</v>
      </c>
      <c r="D63" s="17" t="s">
        <v>392</v>
      </c>
      <c r="E63" s="17" t="s">
        <v>409</v>
      </c>
      <c r="F63" s="17" t="s">
        <v>410</v>
      </c>
      <c r="G63" s="17" t="s">
        <v>395</v>
      </c>
      <c r="H63" s="17" t="s">
        <v>396</v>
      </c>
      <c r="I63" s="17" t="s">
        <v>397</v>
      </c>
      <c r="J63" s="17" t="s">
        <v>411</v>
      </c>
      <c r="K63" s="17" t="s">
        <v>412</v>
      </c>
    </row>
    <row r="64" customFormat="false" ht="39.55" hidden="false" customHeight="false" outlineLevel="1" collapsed="false">
      <c r="A64" s="17" t="s">
        <v>390</v>
      </c>
      <c r="B64" s="18" t="n">
        <v>5</v>
      </c>
      <c r="C64" s="17" t="s">
        <v>413</v>
      </c>
      <c r="D64" s="17" t="s">
        <v>392</v>
      </c>
      <c r="E64" s="17" t="s">
        <v>414</v>
      </c>
      <c r="F64" s="17" t="s">
        <v>415</v>
      </c>
      <c r="G64" s="17" t="s">
        <v>395</v>
      </c>
      <c r="H64" s="17" t="s">
        <v>396</v>
      </c>
      <c r="I64" s="17" t="s">
        <v>397</v>
      </c>
      <c r="J64" s="17" t="s">
        <v>416</v>
      </c>
      <c r="K64" s="17" t="s">
        <v>412</v>
      </c>
    </row>
    <row r="65" customFormat="false" ht="39.55" hidden="false" customHeight="false" outlineLevel="1" collapsed="false">
      <c r="A65" s="17" t="s">
        <v>390</v>
      </c>
      <c r="B65" s="18" t="n">
        <v>6</v>
      </c>
      <c r="C65" s="17" t="s">
        <v>417</v>
      </c>
      <c r="D65" s="17" t="s">
        <v>392</v>
      </c>
      <c r="E65" s="17" t="s">
        <v>418</v>
      </c>
      <c r="F65" s="17" t="s">
        <v>419</v>
      </c>
      <c r="G65" s="17" t="s">
        <v>395</v>
      </c>
      <c r="H65" s="17" t="s">
        <v>396</v>
      </c>
      <c r="I65" s="17" t="s">
        <v>397</v>
      </c>
      <c r="J65" s="17" t="s">
        <v>420</v>
      </c>
      <c r="K65" s="17" t="s">
        <v>399</v>
      </c>
    </row>
    <row r="66" customFormat="false" ht="15.75" hidden="false" customHeight="false" outlineLevel="0" collapsed="false">
      <c r="A66" s="15" t="s">
        <v>421</v>
      </c>
      <c r="B66" s="16"/>
      <c r="C66" s="16"/>
      <c r="D66" s="16"/>
      <c r="E66" s="16"/>
      <c r="F66" s="16"/>
      <c r="G66" s="16"/>
      <c r="H66" s="16"/>
      <c r="I66" s="16"/>
      <c r="J66" s="16"/>
      <c r="K66" s="16"/>
    </row>
    <row r="67" customFormat="false" ht="26.85" hidden="false" customHeight="false" outlineLevel="1" collapsed="false">
      <c r="A67" s="19" t="s">
        <v>421</v>
      </c>
      <c r="B67" s="20" t="n">
        <v>1</v>
      </c>
      <c r="C67" s="19" t="s">
        <v>422</v>
      </c>
      <c r="D67" s="19" t="s">
        <v>423</v>
      </c>
      <c r="E67" s="19" t="s">
        <v>424</v>
      </c>
      <c r="F67" s="19" t="s">
        <v>425</v>
      </c>
      <c r="G67" s="19" t="s">
        <v>426</v>
      </c>
      <c r="H67" s="19" t="s">
        <v>427</v>
      </c>
      <c r="I67" s="19" t="s">
        <v>428</v>
      </c>
      <c r="J67" s="19" t="s">
        <v>420</v>
      </c>
      <c r="K67" s="19" t="s">
        <v>429</v>
      </c>
    </row>
    <row r="68" customFormat="false" ht="39.55" hidden="false" customHeight="false" outlineLevel="1" collapsed="false">
      <c r="A68" s="19" t="s">
        <v>421</v>
      </c>
      <c r="B68" s="20" t="n">
        <v>2</v>
      </c>
      <c r="C68" s="19" t="s">
        <v>430</v>
      </c>
      <c r="D68" s="19" t="s">
        <v>423</v>
      </c>
      <c r="E68" s="19" t="s">
        <v>431</v>
      </c>
      <c r="F68" s="19" t="s">
        <v>432</v>
      </c>
      <c r="G68" s="19" t="s">
        <v>426</v>
      </c>
      <c r="H68" s="19" t="s">
        <v>427</v>
      </c>
      <c r="I68" s="19" t="s">
        <v>428</v>
      </c>
      <c r="J68" s="19" t="s">
        <v>199</v>
      </c>
      <c r="K68" s="19" t="s">
        <v>433</v>
      </c>
    </row>
    <row r="69" customFormat="false" ht="26.85" hidden="false" customHeight="false" outlineLevel="1" collapsed="false">
      <c r="A69" s="19" t="s">
        <v>421</v>
      </c>
      <c r="B69" s="20" t="n">
        <v>3</v>
      </c>
      <c r="C69" s="19" t="s">
        <v>434</v>
      </c>
      <c r="D69" s="19" t="s">
        <v>423</v>
      </c>
      <c r="E69" s="19" t="s">
        <v>435</v>
      </c>
      <c r="F69" s="19" t="s">
        <v>436</v>
      </c>
      <c r="G69" s="19" t="s">
        <v>426</v>
      </c>
      <c r="H69" s="19" t="s">
        <v>427</v>
      </c>
      <c r="I69" s="19" t="s">
        <v>428</v>
      </c>
      <c r="J69" s="19" t="s">
        <v>437</v>
      </c>
      <c r="K69" s="19" t="s">
        <v>429</v>
      </c>
    </row>
    <row r="70" customFormat="false" ht="39.55" hidden="false" customHeight="false" outlineLevel="1" collapsed="false">
      <c r="A70" s="19" t="s">
        <v>421</v>
      </c>
      <c r="B70" s="20" t="n">
        <v>4</v>
      </c>
      <c r="C70" s="19" t="s">
        <v>438</v>
      </c>
      <c r="D70" s="19" t="s">
        <v>423</v>
      </c>
      <c r="E70" s="19" t="s">
        <v>439</v>
      </c>
      <c r="F70" s="19" t="s">
        <v>440</v>
      </c>
      <c r="G70" s="19" t="s">
        <v>426</v>
      </c>
      <c r="H70" s="19" t="s">
        <v>427</v>
      </c>
      <c r="I70" s="19" t="s">
        <v>428</v>
      </c>
      <c r="J70" s="19" t="s">
        <v>199</v>
      </c>
      <c r="K70" s="19" t="s">
        <v>429</v>
      </c>
    </row>
    <row r="71" customFormat="false" ht="26.85" hidden="false" customHeight="false" outlineLevel="1" collapsed="false">
      <c r="A71" s="19" t="s">
        <v>421</v>
      </c>
      <c r="B71" s="20" t="n">
        <v>5</v>
      </c>
      <c r="C71" s="19" t="s">
        <v>441</v>
      </c>
      <c r="D71" s="19" t="s">
        <v>423</v>
      </c>
      <c r="E71" s="19" t="s">
        <v>442</v>
      </c>
      <c r="F71" s="19" t="s">
        <v>443</v>
      </c>
      <c r="G71" s="19" t="s">
        <v>426</v>
      </c>
      <c r="H71" s="19" t="s">
        <v>427</v>
      </c>
      <c r="I71" s="19" t="s">
        <v>428</v>
      </c>
      <c r="J71" s="19" t="s">
        <v>199</v>
      </c>
      <c r="K71" s="19" t="s">
        <v>444</v>
      </c>
    </row>
    <row r="72" customFormat="false" ht="26.85" hidden="false" customHeight="false" outlineLevel="1" collapsed="false">
      <c r="A72" s="19" t="s">
        <v>421</v>
      </c>
      <c r="B72" s="20" t="n">
        <v>6</v>
      </c>
      <c r="C72" s="19" t="s">
        <v>177</v>
      </c>
      <c r="D72" s="19" t="s">
        <v>423</v>
      </c>
      <c r="E72" s="19" t="s">
        <v>445</v>
      </c>
      <c r="F72" s="19" t="s">
        <v>446</v>
      </c>
      <c r="G72" s="19" t="s">
        <v>426</v>
      </c>
      <c r="H72" s="19" t="s">
        <v>427</v>
      </c>
      <c r="I72" s="19" t="s">
        <v>428</v>
      </c>
      <c r="J72" s="19" t="s">
        <v>199</v>
      </c>
      <c r="K72" s="19" t="s">
        <v>447</v>
      </c>
    </row>
    <row r="73" customFormat="false" ht="39.55" hidden="false" customHeight="false" outlineLevel="1" collapsed="false">
      <c r="A73" s="19" t="s">
        <v>421</v>
      </c>
      <c r="B73" s="20" t="n">
        <v>7</v>
      </c>
      <c r="C73" s="19" t="s">
        <v>448</v>
      </c>
      <c r="D73" s="19" t="s">
        <v>423</v>
      </c>
      <c r="E73" s="19" t="s">
        <v>449</v>
      </c>
      <c r="F73" s="19" t="s">
        <v>450</v>
      </c>
      <c r="G73" s="19" t="s">
        <v>426</v>
      </c>
      <c r="H73" s="19" t="s">
        <v>427</v>
      </c>
      <c r="I73" s="19" t="s">
        <v>428</v>
      </c>
      <c r="J73" s="19" t="s">
        <v>199</v>
      </c>
      <c r="K73" s="19" t="s">
        <v>451</v>
      </c>
    </row>
    <row r="74" customFormat="false" ht="15.75" hidden="false" customHeight="false" outlineLevel="0" collapsed="false">
      <c r="A74" s="15" t="s">
        <v>452</v>
      </c>
      <c r="B74" s="16"/>
      <c r="C74" s="16"/>
      <c r="D74" s="16"/>
      <c r="E74" s="16"/>
      <c r="F74" s="16"/>
      <c r="G74" s="16"/>
      <c r="H74" s="16"/>
      <c r="I74" s="16"/>
      <c r="J74" s="16"/>
      <c r="K74" s="16"/>
    </row>
    <row r="75" customFormat="false" ht="52.2" hidden="false" customHeight="false" outlineLevel="1" collapsed="false">
      <c r="A75" s="17" t="s">
        <v>452</v>
      </c>
      <c r="B75" s="18" t="n">
        <v>1</v>
      </c>
      <c r="C75" s="17" t="s">
        <v>453</v>
      </c>
      <c r="D75" s="17" t="s">
        <v>454</v>
      </c>
      <c r="E75" s="17" t="s">
        <v>455</v>
      </c>
      <c r="F75" s="17" t="s">
        <v>456</v>
      </c>
      <c r="G75" s="17" t="s">
        <v>457</v>
      </c>
      <c r="H75" s="17" t="s">
        <v>458</v>
      </c>
      <c r="I75" s="17" t="s">
        <v>459</v>
      </c>
      <c r="J75" s="17" t="s">
        <v>460</v>
      </c>
      <c r="K75" s="17" t="s">
        <v>461</v>
      </c>
    </row>
    <row r="76" customFormat="false" ht="39.55" hidden="false" customHeight="false" outlineLevel="1" collapsed="false">
      <c r="A76" s="17" t="s">
        <v>452</v>
      </c>
      <c r="B76" s="18" t="n">
        <v>2</v>
      </c>
      <c r="C76" s="17" t="s">
        <v>462</v>
      </c>
      <c r="D76" s="17" t="s">
        <v>463</v>
      </c>
      <c r="E76" s="17" t="s">
        <v>464</v>
      </c>
      <c r="F76" s="17" t="s">
        <v>465</v>
      </c>
      <c r="G76" s="17" t="s">
        <v>457</v>
      </c>
      <c r="H76" s="17" t="s">
        <v>458</v>
      </c>
      <c r="I76" s="17" t="s">
        <v>459</v>
      </c>
      <c r="J76" s="17" t="s">
        <v>460</v>
      </c>
      <c r="K76" s="17" t="s">
        <v>466</v>
      </c>
    </row>
    <row r="77" customFormat="false" ht="39.55" hidden="false" customHeight="false" outlineLevel="1" collapsed="false">
      <c r="A77" s="17" t="s">
        <v>452</v>
      </c>
      <c r="B77" s="18" t="n">
        <v>3</v>
      </c>
      <c r="C77" s="17" t="s">
        <v>467</v>
      </c>
      <c r="D77" s="17" t="s">
        <v>463</v>
      </c>
      <c r="E77" s="17" t="s">
        <v>468</v>
      </c>
      <c r="F77" s="17" t="s">
        <v>469</v>
      </c>
      <c r="G77" s="17" t="s">
        <v>457</v>
      </c>
      <c r="H77" s="17" t="s">
        <v>458</v>
      </c>
      <c r="I77" s="17" t="s">
        <v>459</v>
      </c>
      <c r="J77" s="17" t="s">
        <v>460</v>
      </c>
      <c r="K77" s="17" t="s">
        <v>466</v>
      </c>
    </row>
    <row r="78" customFormat="false" ht="39.55" hidden="false" customHeight="false" outlineLevel="1" collapsed="false">
      <c r="A78" s="17" t="s">
        <v>452</v>
      </c>
      <c r="B78" s="18" t="n">
        <v>4</v>
      </c>
      <c r="C78" s="17" t="s">
        <v>470</v>
      </c>
      <c r="D78" s="17" t="s">
        <v>463</v>
      </c>
      <c r="E78" s="17" t="s">
        <v>471</v>
      </c>
      <c r="F78" s="17" t="s">
        <v>472</v>
      </c>
      <c r="G78" s="17" t="s">
        <v>457</v>
      </c>
      <c r="H78" s="17" t="s">
        <v>458</v>
      </c>
      <c r="I78" s="17" t="s">
        <v>459</v>
      </c>
      <c r="J78" s="17" t="s">
        <v>460</v>
      </c>
      <c r="K78" s="17" t="s">
        <v>473</v>
      </c>
    </row>
    <row r="79" customFormat="false" ht="39.55" hidden="false" customHeight="false" outlineLevel="1" collapsed="false">
      <c r="A79" s="17" t="s">
        <v>452</v>
      </c>
      <c r="B79" s="18" t="n">
        <v>5</v>
      </c>
      <c r="C79" s="17" t="s">
        <v>474</v>
      </c>
      <c r="D79" s="17" t="s">
        <v>463</v>
      </c>
      <c r="E79" s="17" t="s">
        <v>475</v>
      </c>
      <c r="F79" s="17" t="s">
        <v>476</v>
      </c>
      <c r="G79" s="17" t="s">
        <v>457</v>
      </c>
      <c r="H79" s="17" t="s">
        <v>458</v>
      </c>
      <c r="I79" s="17" t="s">
        <v>459</v>
      </c>
      <c r="J79" s="17" t="s">
        <v>460</v>
      </c>
      <c r="K79" s="17" t="s">
        <v>477</v>
      </c>
    </row>
    <row r="80" customFormat="false" ht="15.75" hidden="false" customHeight="false" outlineLevel="0" collapsed="false">
      <c r="A80" s="2"/>
      <c r="B80" s="2"/>
      <c r="C80" s="2"/>
      <c r="D80" s="2"/>
      <c r="E80" s="2"/>
      <c r="F80" s="2"/>
      <c r="G80" s="2"/>
      <c r="H80" s="2"/>
      <c r="I80" s="2"/>
      <c r="J80" s="2"/>
      <c r="K80" s="2"/>
    </row>
    <row r="81" customFormat="false" ht="15.75" hidden="false" customHeight="false" outlineLevel="0" collapsed="false">
      <c r="A81" s="2"/>
      <c r="B81" s="2"/>
      <c r="C81" s="2"/>
      <c r="D81" s="2"/>
      <c r="E81" s="2"/>
      <c r="F81" s="2"/>
      <c r="G81" s="2"/>
      <c r="H81" s="2"/>
      <c r="I81" s="2"/>
      <c r="J81" s="2"/>
      <c r="K81" s="2"/>
    </row>
    <row r="82" customFormat="false" ht="15.75" hidden="false" customHeight="false" outlineLevel="0" collapsed="false">
      <c r="A82" s="2"/>
      <c r="B82" s="2"/>
      <c r="C82" s="2"/>
      <c r="D82" s="2"/>
      <c r="E82" s="2"/>
      <c r="F82" s="2"/>
      <c r="G82" s="2"/>
      <c r="H82" s="2"/>
      <c r="I82" s="2"/>
      <c r="J82" s="2"/>
      <c r="K82" s="2"/>
    </row>
    <row r="83" customFormat="false" ht="15.75" hidden="false" customHeight="false" outlineLevel="0" collapsed="false">
      <c r="A83" s="2"/>
      <c r="B83" s="2"/>
      <c r="C83" s="2"/>
      <c r="D83" s="2"/>
      <c r="E83" s="2"/>
      <c r="F83" s="2"/>
      <c r="G83" s="2"/>
      <c r="H83" s="2"/>
      <c r="I83" s="2"/>
      <c r="J83" s="2"/>
      <c r="K83" s="2"/>
    </row>
    <row r="84" customFormat="false" ht="15.75" hidden="false" customHeight="false" outlineLevel="0" collapsed="false">
      <c r="A84" s="2"/>
      <c r="B84" s="2"/>
      <c r="C84" s="2"/>
      <c r="D84" s="2"/>
      <c r="E84" s="2"/>
      <c r="F84" s="2"/>
      <c r="G84" s="2"/>
      <c r="H84" s="2"/>
      <c r="I84" s="2"/>
      <c r="J84" s="2"/>
      <c r="K84" s="2"/>
    </row>
    <row r="85" customFormat="false" ht="15.75" hidden="false" customHeight="false" outlineLevel="0" collapsed="false">
      <c r="A85" s="2"/>
      <c r="B85" s="2"/>
      <c r="C85" s="2"/>
      <c r="D85" s="2"/>
      <c r="E85" s="2"/>
      <c r="F85" s="2"/>
      <c r="G85" s="2"/>
      <c r="H85" s="2"/>
      <c r="I85" s="2"/>
      <c r="J85" s="2"/>
      <c r="K85" s="2"/>
    </row>
    <row r="86" customFormat="false" ht="15.75" hidden="false" customHeight="false" outlineLevel="0" collapsed="false">
      <c r="A86" s="2"/>
      <c r="B86" s="2"/>
      <c r="C86" s="2"/>
      <c r="D86" s="2"/>
      <c r="E86" s="2"/>
      <c r="F86" s="2"/>
      <c r="G86" s="2"/>
      <c r="H86" s="2"/>
      <c r="I86" s="2"/>
      <c r="J86" s="2"/>
      <c r="K86" s="2"/>
    </row>
    <row r="87" customFormat="false" ht="15.75" hidden="false" customHeight="false" outlineLevel="0" collapsed="false">
      <c r="A87" s="2"/>
      <c r="B87" s="2"/>
      <c r="C87" s="2"/>
      <c r="D87" s="2"/>
      <c r="E87" s="2"/>
      <c r="F87" s="2"/>
      <c r="G87" s="2"/>
      <c r="H87" s="2"/>
      <c r="I87" s="2"/>
      <c r="J87" s="2"/>
      <c r="K87" s="2"/>
    </row>
    <row r="88" customFormat="false" ht="15.75" hidden="false" customHeight="false" outlineLevel="0" collapsed="false">
      <c r="A88" s="2"/>
      <c r="B88" s="2"/>
      <c r="C88" s="2"/>
      <c r="D88" s="2"/>
      <c r="E88" s="2"/>
      <c r="F88" s="2"/>
      <c r="G88" s="2"/>
      <c r="H88" s="2"/>
      <c r="I88" s="2"/>
      <c r="J88" s="2"/>
      <c r="K88" s="2"/>
    </row>
    <row r="89" customFormat="false" ht="15.75" hidden="false" customHeight="false" outlineLevel="0" collapsed="false">
      <c r="A89" s="2"/>
      <c r="B89" s="2"/>
      <c r="C89" s="2"/>
      <c r="D89" s="2"/>
      <c r="E89" s="2"/>
      <c r="F89" s="2"/>
      <c r="G89" s="2"/>
      <c r="H89" s="2"/>
      <c r="I89" s="2"/>
      <c r="J89" s="2"/>
      <c r="K89" s="2"/>
    </row>
    <row r="90" customFormat="false" ht="15.75" hidden="false" customHeight="false" outlineLevel="0" collapsed="false">
      <c r="A90" s="2"/>
      <c r="B90" s="2"/>
      <c r="C90" s="2"/>
      <c r="D90" s="2"/>
      <c r="E90" s="2"/>
      <c r="F90" s="2"/>
      <c r="G90" s="2"/>
      <c r="H90" s="2"/>
      <c r="I90" s="2"/>
      <c r="J90" s="2"/>
      <c r="K90" s="2"/>
    </row>
    <row r="91" customFormat="false" ht="15.75" hidden="false" customHeight="false" outlineLevel="0" collapsed="false">
      <c r="A91" s="2"/>
      <c r="B91" s="2"/>
      <c r="C91" s="2"/>
      <c r="D91" s="2"/>
      <c r="E91" s="2"/>
      <c r="F91" s="2"/>
      <c r="G91" s="2"/>
      <c r="H91" s="2"/>
      <c r="I91" s="2"/>
      <c r="J91" s="2"/>
      <c r="K91" s="2"/>
    </row>
    <row r="92" customFormat="false" ht="15.75" hidden="false" customHeight="false" outlineLevel="0" collapsed="false">
      <c r="A92" s="2"/>
      <c r="B92" s="2"/>
      <c r="C92" s="2"/>
      <c r="D92" s="2"/>
      <c r="E92" s="2"/>
      <c r="F92" s="2"/>
      <c r="G92" s="2"/>
      <c r="H92" s="2"/>
      <c r="I92" s="2"/>
      <c r="J92" s="2"/>
      <c r="K92" s="2"/>
    </row>
    <row r="93" customFormat="false" ht="15.75" hidden="false" customHeight="false" outlineLevel="0" collapsed="false">
      <c r="A93" s="2"/>
      <c r="B93" s="2"/>
      <c r="C93" s="2"/>
      <c r="D93" s="2"/>
      <c r="E93" s="2"/>
      <c r="F93" s="2"/>
      <c r="G93" s="2"/>
      <c r="H93" s="2"/>
      <c r="I93" s="2"/>
      <c r="J93" s="2"/>
      <c r="K93" s="2"/>
    </row>
    <row r="94" customFormat="false" ht="15.75" hidden="false" customHeight="false" outlineLevel="0" collapsed="false">
      <c r="A94" s="2"/>
      <c r="B94" s="2"/>
      <c r="C94" s="2"/>
      <c r="D94" s="2"/>
      <c r="E94" s="2"/>
      <c r="F94" s="2"/>
      <c r="G94" s="2"/>
      <c r="H94" s="2"/>
      <c r="I94" s="2"/>
      <c r="J94" s="2"/>
      <c r="K94" s="2"/>
    </row>
    <row r="95" customFormat="false" ht="15.75" hidden="false" customHeight="false" outlineLevel="0" collapsed="false">
      <c r="A95" s="2"/>
      <c r="B95" s="2"/>
      <c r="C95" s="2"/>
      <c r="D95" s="2"/>
      <c r="E95" s="2"/>
      <c r="F95" s="2"/>
      <c r="G95" s="2"/>
      <c r="H95" s="2"/>
      <c r="I95" s="2"/>
      <c r="J95" s="2"/>
      <c r="K95" s="2"/>
    </row>
    <row r="96" customFormat="false" ht="15.75" hidden="false" customHeight="false" outlineLevel="0" collapsed="false">
      <c r="A96" s="2"/>
      <c r="B96" s="2"/>
      <c r="C96" s="2"/>
      <c r="D96" s="2"/>
      <c r="E96" s="2"/>
      <c r="F96" s="2"/>
      <c r="G96" s="2"/>
      <c r="H96" s="2"/>
      <c r="I96" s="2"/>
      <c r="J96" s="2"/>
      <c r="K96" s="2"/>
    </row>
    <row r="97" customFormat="false" ht="15.75" hidden="false" customHeight="false" outlineLevel="0" collapsed="false">
      <c r="A97" s="2"/>
      <c r="B97" s="2"/>
      <c r="C97" s="2"/>
      <c r="D97" s="2"/>
      <c r="E97" s="2"/>
      <c r="F97" s="2"/>
      <c r="G97" s="2"/>
      <c r="H97" s="2"/>
      <c r="I97" s="2"/>
      <c r="J97" s="2"/>
      <c r="K97" s="2"/>
    </row>
    <row r="98" customFormat="false" ht="15.75" hidden="false" customHeight="false" outlineLevel="0" collapsed="false">
      <c r="A98" s="2"/>
      <c r="B98" s="2"/>
      <c r="C98" s="2"/>
      <c r="D98" s="2"/>
      <c r="E98" s="2"/>
      <c r="F98" s="2"/>
      <c r="G98" s="2"/>
      <c r="H98" s="2"/>
      <c r="I98" s="2"/>
      <c r="J98" s="2"/>
      <c r="K98" s="2"/>
    </row>
    <row r="99" customFormat="false" ht="15.75" hidden="false" customHeight="false" outlineLevel="0" collapsed="false">
      <c r="A99" s="2"/>
      <c r="B99" s="2"/>
      <c r="C99" s="2"/>
      <c r="D99" s="2"/>
      <c r="E99" s="2"/>
      <c r="F99" s="2"/>
      <c r="G99" s="2"/>
      <c r="H99" s="2"/>
      <c r="I99" s="2"/>
      <c r="J99" s="2"/>
      <c r="K99" s="2"/>
    </row>
    <row r="100" customFormat="false" ht="15.75" hidden="false" customHeight="false" outlineLevel="0" collapsed="false">
      <c r="A100" s="2"/>
      <c r="B100" s="2"/>
      <c r="C100" s="2"/>
      <c r="D100" s="2"/>
      <c r="E100" s="2"/>
      <c r="F100" s="2"/>
      <c r="G100" s="2"/>
      <c r="H100" s="2"/>
      <c r="I100" s="2"/>
      <c r="J100" s="2"/>
      <c r="K100" s="2"/>
    </row>
    <row r="101" customFormat="false" ht="15.75" hidden="false" customHeight="false" outlineLevel="0" collapsed="false">
      <c r="A101" s="2"/>
      <c r="B101" s="2"/>
      <c r="C101" s="2"/>
      <c r="D101" s="2"/>
      <c r="E101" s="2"/>
      <c r="F101" s="2"/>
      <c r="G101" s="2"/>
      <c r="H101" s="2"/>
      <c r="I101" s="2"/>
      <c r="J101" s="2"/>
      <c r="K101" s="2"/>
    </row>
    <row r="102" customFormat="false" ht="15.75" hidden="false" customHeight="false" outlineLevel="0" collapsed="false">
      <c r="A102" s="2"/>
      <c r="B102" s="2"/>
      <c r="C102" s="2"/>
      <c r="D102" s="2"/>
      <c r="E102" s="2"/>
      <c r="F102" s="2"/>
      <c r="G102" s="2"/>
      <c r="H102" s="2"/>
      <c r="I102" s="2"/>
      <c r="J102" s="2"/>
      <c r="K102" s="2"/>
    </row>
    <row r="103" customFormat="false" ht="15.75" hidden="false" customHeight="false" outlineLevel="0" collapsed="false">
      <c r="A103" s="2"/>
      <c r="B103" s="2"/>
      <c r="C103" s="2"/>
      <c r="D103" s="2"/>
      <c r="E103" s="2"/>
      <c r="F103" s="2"/>
      <c r="G103" s="2"/>
      <c r="H103" s="2"/>
      <c r="I103" s="2"/>
      <c r="J103" s="2"/>
      <c r="K103" s="2"/>
    </row>
    <row r="104" customFormat="false" ht="15.75" hidden="false" customHeight="false" outlineLevel="0" collapsed="false">
      <c r="A104" s="2"/>
      <c r="B104" s="2"/>
      <c r="C104" s="2"/>
      <c r="D104" s="2"/>
      <c r="E104" s="2"/>
      <c r="F104" s="2"/>
      <c r="G104" s="2"/>
      <c r="H104" s="2"/>
      <c r="I104" s="2"/>
      <c r="J104" s="2"/>
      <c r="K104" s="2"/>
    </row>
    <row r="105" customFormat="false" ht="15.75" hidden="false" customHeight="false" outlineLevel="0" collapsed="false">
      <c r="A105" s="2"/>
      <c r="B105" s="2"/>
      <c r="C105" s="2"/>
      <c r="D105" s="2"/>
      <c r="E105" s="2"/>
      <c r="F105" s="2"/>
      <c r="G105" s="2"/>
      <c r="H105" s="2"/>
      <c r="I105" s="2"/>
      <c r="J105" s="2"/>
      <c r="K105" s="2"/>
    </row>
    <row r="106" customFormat="false" ht="15.75" hidden="false" customHeight="false" outlineLevel="0" collapsed="false">
      <c r="A106" s="2"/>
      <c r="B106" s="2"/>
      <c r="C106" s="2"/>
      <c r="D106" s="2"/>
      <c r="E106" s="2"/>
      <c r="F106" s="2"/>
      <c r="G106" s="2"/>
      <c r="H106" s="2"/>
      <c r="I106" s="2"/>
      <c r="J106" s="2"/>
      <c r="K106" s="2"/>
    </row>
    <row r="107" customFormat="false" ht="15.75" hidden="false" customHeight="false" outlineLevel="0" collapsed="false">
      <c r="A107" s="2"/>
      <c r="B107" s="2"/>
      <c r="C107" s="2"/>
      <c r="D107" s="2"/>
      <c r="E107" s="2"/>
      <c r="F107" s="2"/>
      <c r="G107" s="2"/>
      <c r="H107" s="2"/>
      <c r="I107" s="2"/>
      <c r="J107" s="2"/>
      <c r="K107" s="2"/>
    </row>
    <row r="108" customFormat="false" ht="15.75" hidden="false" customHeight="false" outlineLevel="0" collapsed="false">
      <c r="A108" s="2"/>
      <c r="B108" s="2"/>
      <c r="C108" s="2"/>
      <c r="D108" s="2"/>
      <c r="E108" s="2"/>
      <c r="F108" s="2"/>
      <c r="G108" s="2"/>
      <c r="H108" s="2"/>
      <c r="I108" s="2"/>
      <c r="J108" s="2"/>
      <c r="K108" s="2"/>
    </row>
    <row r="109" customFormat="false" ht="15.75" hidden="false" customHeight="false" outlineLevel="0" collapsed="false">
      <c r="A109" s="2"/>
      <c r="B109" s="2"/>
      <c r="C109" s="2"/>
      <c r="D109" s="2"/>
      <c r="E109" s="2"/>
      <c r="F109" s="2"/>
      <c r="G109" s="2"/>
      <c r="H109" s="2"/>
      <c r="I109" s="2"/>
      <c r="J109" s="2"/>
      <c r="K109" s="2"/>
    </row>
    <row r="110" customFormat="false" ht="15.75" hidden="false" customHeight="false" outlineLevel="0" collapsed="false">
      <c r="A110" s="2"/>
      <c r="B110" s="2"/>
      <c r="C110" s="2"/>
      <c r="D110" s="2"/>
      <c r="E110" s="2"/>
      <c r="F110" s="2"/>
      <c r="G110" s="2"/>
      <c r="H110" s="2"/>
      <c r="I110" s="2"/>
      <c r="J110" s="2"/>
      <c r="K110" s="2"/>
    </row>
    <row r="111" customFormat="false" ht="15.75" hidden="false" customHeight="false" outlineLevel="0" collapsed="false">
      <c r="A111" s="2"/>
      <c r="B111" s="2"/>
      <c r="C111" s="2"/>
      <c r="D111" s="2"/>
      <c r="E111" s="2"/>
      <c r="F111" s="2"/>
      <c r="G111" s="2"/>
      <c r="H111" s="2"/>
      <c r="I111" s="2"/>
      <c r="J111" s="2"/>
      <c r="K111" s="2"/>
    </row>
    <row r="112" customFormat="false" ht="15.75" hidden="false" customHeight="false" outlineLevel="0" collapsed="false">
      <c r="A112" s="2"/>
      <c r="B112" s="2"/>
      <c r="C112" s="2"/>
      <c r="D112" s="2"/>
      <c r="E112" s="2"/>
      <c r="F112" s="2"/>
      <c r="G112" s="2"/>
      <c r="H112" s="2"/>
      <c r="I112" s="2"/>
      <c r="J112" s="2"/>
      <c r="K112" s="2"/>
    </row>
    <row r="113" customFormat="false" ht="15.75" hidden="false" customHeight="false" outlineLevel="0" collapsed="false">
      <c r="A113" s="2"/>
      <c r="B113" s="2"/>
      <c r="C113" s="2"/>
      <c r="D113" s="2"/>
      <c r="E113" s="2"/>
      <c r="F113" s="2"/>
      <c r="G113" s="2"/>
      <c r="H113" s="2"/>
      <c r="I113" s="2"/>
      <c r="J113" s="2"/>
      <c r="K113" s="2"/>
    </row>
    <row r="114" customFormat="false" ht="15.75" hidden="false" customHeight="false" outlineLevel="0" collapsed="false">
      <c r="A114" s="2"/>
      <c r="B114" s="2"/>
      <c r="C114" s="2"/>
      <c r="D114" s="2"/>
      <c r="E114" s="2"/>
      <c r="F114" s="2"/>
      <c r="G114" s="2"/>
      <c r="H114" s="2"/>
      <c r="I114" s="2"/>
      <c r="J114" s="2"/>
      <c r="K114" s="2"/>
    </row>
    <row r="115" customFormat="false" ht="15.75" hidden="false" customHeight="false" outlineLevel="0" collapsed="false">
      <c r="A115" s="2"/>
      <c r="B115" s="2"/>
      <c r="C115" s="2"/>
      <c r="D115" s="2"/>
      <c r="E115" s="2"/>
      <c r="F115" s="2"/>
      <c r="G115" s="2"/>
      <c r="H115" s="2"/>
      <c r="I115" s="2"/>
      <c r="J115" s="2"/>
      <c r="K115" s="2"/>
    </row>
    <row r="116" customFormat="false" ht="15.75" hidden="false" customHeight="false" outlineLevel="0" collapsed="false">
      <c r="A116" s="2"/>
      <c r="B116" s="2"/>
      <c r="C116" s="2"/>
      <c r="D116" s="2"/>
      <c r="E116" s="2"/>
      <c r="F116" s="2"/>
      <c r="G116" s="2"/>
      <c r="H116" s="2"/>
      <c r="I116" s="2"/>
      <c r="J116" s="2"/>
      <c r="K116" s="2"/>
    </row>
    <row r="117" customFormat="false" ht="15.75" hidden="false" customHeight="false" outlineLevel="0" collapsed="false">
      <c r="A117" s="2"/>
      <c r="B117" s="2"/>
      <c r="C117" s="2"/>
      <c r="D117" s="2"/>
      <c r="E117" s="2"/>
      <c r="F117" s="2"/>
      <c r="G117" s="2"/>
      <c r="H117" s="2"/>
      <c r="I117" s="2"/>
      <c r="J117" s="2"/>
      <c r="K117" s="2"/>
    </row>
    <row r="118" customFormat="false" ht="15.75" hidden="false" customHeight="false" outlineLevel="0" collapsed="false">
      <c r="A118" s="2"/>
      <c r="B118" s="2"/>
      <c r="C118" s="2"/>
      <c r="D118" s="2"/>
      <c r="E118" s="2"/>
      <c r="F118" s="2"/>
      <c r="G118" s="2"/>
      <c r="H118" s="2"/>
      <c r="I118" s="2"/>
      <c r="J118" s="2"/>
      <c r="K118" s="2"/>
    </row>
    <row r="119" customFormat="false" ht="15.75" hidden="false" customHeight="false" outlineLevel="0" collapsed="false">
      <c r="A119" s="2"/>
      <c r="B119" s="2"/>
      <c r="C119" s="2"/>
      <c r="D119" s="2"/>
      <c r="E119" s="2"/>
      <c r="F119" s="2"/>
      <c r="G119" s="2"/>
      <c r="H119" s="2"/>
      <c r="I119" s="2"/>
      <c r="J119" s="2"/>
      <c r="K119" s="2"/>
    </row>
    <row r="120" customFormat="false" ht="15.75" hidden="false" customHeight="false" outlineLevel="0" collapsed="false">
      <c r="A120" s="2"/>
      <c r="B120" s="2"/>
      <c r="C120" s="2"/>
      <c r="D120" s="2"/>
      <c r="E120" s="2"/>
      <c r="F120" s="2"/>
      <c r="G120" s="2"/>
      <c r="H120" s="2"/>
      <c r="I120" s="2"/>
      <c r="J120" s="2"/>
      <c r="K120" s="2"/>
    </row>
    <row r="121" customFormat="false" ht="15.75" hidden="false" customHeight="false" outlineLevel="0" collapsed="false">
      <c r="A121" s="2"/>
      <c r="B121" s="2"/>
      <c r="C121" s="2"/>
      <c r="D121" s="2"/>
      <c r="E121" s="2"/>
      <c r="F121" s="2"/>
      <c r="G121" s="2"/>
      <c r="H121" s="2"/>
      <c r="I121" s="2"/>
      <c r="J121" s="2"/>
      <c r="K121" s="2"/>
    </row>
    <row r="122" customFormat="false" ht="15.75" hidden="false" customHeight="false" outlineLevel="0" collapsed="false">
      <c r="A122" s="2"/>
      <c r="B122" s="2"/>
      <c r="C122" s="2"/>
      <c r="D122" s="2"/>
      <c r="E122" s="2"/>
      <c r="F122" s="2"/>
      <c r="G122" s="2"/>
      <c r="H122" s="2"/>
      <c r="I122" s="2"/>
      <c r="J122" s="2"/>
      <c r="K122" s="2"/>
    </row>
    <row r="123" customFormat="false" ht="15.75" hidden="false" customHeight="false" outlineLevel="0" collapsed="false">
      <c r="A123" s="2"/>
      <c r="B123" s="2"/>
      <c r="C123" s="2"/>
      <c r="D123" s="2"/>
      <c r="E123" s="2"/>
      <c r="F123" s="2"/>
      <c r="G123" s="2"/>
      <c r="H123" s="2"/>
      <c r="I123" s="2"/>
      <c r="J123" s="2"/>
      <c r="K123" s="2"/>
    </row>
    <row r="124" customFormat="false" ht="15.75" hidden="false" customHeight="false" outlineLevel="0" collapsed="false">
      <c r="A124" s="2"/>
      <c r="B124" s="2"/>
      <c r="C124" s="2"/>
      <c r="D124" s="2"/>
      <c r="E124" s="2"/>
      <c r="F124" s="2"/>
      <c r="G124" s="2"/>
      <c r="H124" s="2"/>
      <c r="I124" s="2"/>
      <c r="J124" s="2"/>
      <c r="K124" s="2"/>
    </row>
    <row r="125" customFormat="false" ht="15.75" hidden="false" customHeight="false" outlineLevel="0" collapsed="false">
      <c r="A125" s="2"/>
      <c r="B125" s="2"/>
      <c r="C125" s="2"/>
      <c r="D125" s="2"/>
      <c r="E125" s="2"/>
      <c r="F125" s="2"/>
      <c r="G125" s="2"/>
      <c r="H125" s="2"/>
      <c r="I125" s="2"/>
      <c r="J125" s="2"/>
      <c r="K125" s="2"/>
    </row>
    <row r="126" customFormat="false" ht="15.75" hidden="false" customHeight="false" outlineLevel="0" collapsed="false">
      <c r="A126" s="2"/>
      <c r="B126" s="2"/>
      <c r="C126" s="2"/>
      <c r="D126" s="2"/>
      <c r="E126" s="2"/>
      <c r="F126" s="2"/>
      <c r="G126" s="2"/>
      <c r="H126" s="2"/>
      <c r="I126" s="2"/>
      <c r="J126" s="2"/>
      <c r="K126" s="2"/>
    </row>
    <row r="127" customFormat="false" ht="15.75" hidden="false" customHeight="false" outlineLevel="0" collapsed="false">
      <c r="A127" s="2"/>
      <c r="B127" s="2"/>
      <c r="C127" s="2"/>
      <c r="D127" s="2"/>
      <c r="E127" s="2"/>
      <c r="F127" s="2"/>
      <c r="G127" s="2"/>
      <c r="H127" s="2"/>
      <c r="I127" s="2"/>
      <c r="J127" s="2"/>
      <c r="K127" s="2"/>
    </row>
    <row r="128" customFormat="false" ht="15.75" hidden="false" customHeight="false" outlineLevel="0" collapsed="false">
      <c r="A128" s="2"/>
      <c r="B128" s="2"/>
      <c r="C128" s="2"/>
      <c r="D128" s="2"/>
      <c r="E128" s="2"/>
      <c r="F128" s="2"/>
      <c r="G128" s="2"/>
      <c r="H128" s="2"/>
      <c r="I128" s="2"/>
      <c r="J128" s="2"/>
      <c r="K128" s="2"/>
    </row>
    <row r="129" customFormat="false" ht="15.75" hidden="false" customHeight="false" outlineLevel="0" collapsed="false">
      <c r="A129" s="2"/>
      <c r="B129" s="2"/>
      <c r="C129" s="2"/>
      <c r="D129" s="2"/>
      <c r="E129" s="2"/>
      <c r="F129" s="2"/>
      <c r="G129" s="2"/>
      <c r="H129" s="2"/>
      <c r="I129" s="2"/>
      <c r="J129" s="2"/>
      <c r="K129" s="2"/>
    </row>
    <row r="130" customFormat="false" ht="15.75" hidden="false" customHeight="false" outlineLevel="0" collapsed="false">
      <c r="A130" s="2"/>
      <c r="B130" s="2"/>
      <c r="C130" s="2"/>
      <c r="D130" s="2"/>
      <c r="E130" s="2"/>
      <c r="F130" s="2"/>
      <c r="G130" s="2"/>
      <c r="H130" s="2"/>
      <c r="I130" s="2"/>
      <c r="J130" s="2"/>
      <c r="K130" s="2"/>
    </row>
    <row r="131" customFormat="false" ht="15.75" hidden="false" customHeight="false" outlineLevel="0" collapsed="false">
      <c r="A131" s="2"/>
      <c r="B131" s="2"/>
      <c r="C131" s="2"/>
      <c r="D131" s="2"/>
      <c r="E131" s="2"/>
      <c r="F131" s="2"/>
      <c r="G131" s="2"/>
      <c r="H131" s="2"/>
      <c r="I131" s="2"/>
      <c r="J131" s="2"/>
      <c r="K131" s="2"/>
    </row>
    <row r="132" customFormat="false" ht="15.75" hidden="false" customHeight="false" outlineLevel="0" collapsed="false">
      <c r="A132" s="2"/>
      <c r="B132" s="2"/>
      <c r="C132" s="2"/>
      <c r="D132" s="2"/>
      <c r="E132" s="2"/>
      <c r="F132" s="2"/>
      <c r="G132" s="2"/>
      <c r="H132" s="2"/>
      <c r="I132" s="2"/>
      <c r="J132" s="2"/>
      <c r="K132" s="2"/>
    </row>
    <row r="133" customFormat="false" ht="15.75" hidden="false" customHeight="false" outlineLevel="0" collapsed="false">
      <c r="A133" s="2"/>
      <c r="B133" s="2"/>
      <c r="C133" s="2"/>
      <c r="D133" s="2"/>
      <c r="E133" s="2"/>
      <c r="F133" s="2"/>
      <c r="G133" s="2"/>
      <c r="H133" s="2"/>
      <c r="I133" s="2"/>
      <c r="J133" s="2"/>
      <c r="K133" s="2"/>
    </row>
    <row r="134" customFormat="false" ht="15.75" hidden="false" customHeight="false" outlineLevel="0" collapsed="false">
      <c r="A134" s="2"/>
      <c r="B134" s="2"/>
      <c r="C134" s="2"/>
      <c r="D134" s="2"/>
      <c r="E134" s="2"/>
      <c r="F134" s="2"/>
      <c r="G134" s="2"/>
      <c r="H134" s="2"/>
      <c r="I134" s="2"/>
      <c r="J134" s="2"/>
      <c r="K134" s="2"/>
    </row>
    <row r="135" customFormat="false" ht="15.75" hidden="false" customHeight="false" outlineLevel="0" collapsed="false">
      <c r="A135" s="2"/>
      <c r="B135" s="2"/>
      <c r="C135" s="2"/>
      <c r="D135" s="2"/>
      <c r="E135" s="2"/>
      <c r="F135" s="2"/>
      <c r="G135" s="2"/>
      <c r="H135" s="2"/>
      <c r="I135" s="2"/>
      <c r="J135" s="2"/>
      <c r="K135" s="2"/>
    </row>
    <row r="136" customFormat="false" ht="15.75" hidden="false" customHeight="false" outlineLevel="0" collapsed="false">
      <c r="A136" s="2"/>
      <c r="B136" s="2"/>
      <c r="C136" s="2"/>
      <c r="D136" s="2"/>
      <c r="E136" s="2"/>
      <c r="F136" s="2"/>
      <c r="G136" s="2"/>
      <c r="H136" s="2"/>
      <c r="I136" s="2"/>
      <c r="J136" s="2"/>
      <c r="K136" s="2"/>
    </row>
    <row r="137" customFormat="false" ht="15.75" hidden="false" customHeight="false" outlineLevel="0" collapsed="false">
      <c r="A137" s="2"/>
      <c r="B137" s="2"/>
      <c r="C137" s="2"/>
      <c r="D137" s="2"/>
      <c r="E137" s="2"/>
      <c r="F137" s="2"/>
      <c r="G137" s="2"/>
      <c r="H137" s="2"/>
      <c r="I137" s="2"/>
      <c r="J137" s="2"/>
      <c r="K137" s="2"/>
    </row>
    <row r="138" customFormat="false" ht="15.75" hidden="false" customHeight="false" outlineLevel="0" collapsed="false">
      <c r="A138" s="2"/>
      <c r="B138" s="2"/>
      <c r="C138" s="2"/>
      <c r="D138" s="2"/>
      <c r="E138" s="2"/>
      <c r="F138" s="2"/>
      <c r="G138" s="2"/>
      <c r="H138" s="2"/>
      <c r="I138" s="2"/>
      <c r="J138" s="2"/>
      <c r="K138" s="2"/>
    </row>
    <row r="139" customFormat="false" ht="15.75" hidden="false" customHeight="false" outlineLevel="0" collapsed="false">
      <c r="A139" s="2"/>
      <c r="B139" s="2"/>
      <c r="C139" s="2"/>
      <c r="D139" s="2"/>
      <c r="E139" s="2"/>
      <c r="F139" s="2"/>
      <c r="G139" s="2"/>
      <c r="H139" s="2"/>
      <c r="I139" s="2"/>
      <c r="J139" s="2"/>
      <c r="K139" s="2"/>
    </row>
    <row r="140" customFormat="false" ht="15.75" hidden="false" customHeight="false" outlineLevel="0" collapsed="false">
      <c r="A140" s="2"/>
      <c r="B140" s="2"/>
      <c r="C140" s="2"/>
      <c r="D140" s="2"/>
      <c r="E140" s="2"/>
      <c r="F140" s="2"/>
      <c r="G140" s="2"/>
      <c r="H140" s="2"/>
      <c r="I140" s="2"/>
      <c r="J140" s="2"/>
      <c r="K140" s="2"/>
    </row>
    <row r="141" customFormat="false" ht="15.75" hidden="false" customHeight="false" outlineLevel="0" collapsed="false">
      <c r="A141" s="2"/>
      <c r="B141" s="2"/>
      <c r="C141" s="2"/>
      <c r="D141" s="2"/>
      <c r="E141" s="2"/>
      <c r="F141" s="2"/>
      <c r="G141" s="2"/>
      <c r="H141" s="2"/>
      <c r="I141" s="2"/>
      <c r="J141" s="2"/>
      <c r="K141" s="2"/>
    </row>
    <row r="142" customFormat="false" ht="15.75" hidden="false" customHeight="false" outlineLevel="0" collapsed="false">
      <c r="A142" s="2"/>
      <c r="B142" s="2"/>
      <c r="C142" s="2"/>
      <c r="D142" s="2"/>
      <c r="E142" s="2"/>
      <c r="F142" s="2"/>
      <c r="G142" s="2"/>
      <c r="H142" s="2"/>
      <c r="I142" s="2"/>
      <c r="J142" s="2"/>
      <c r="K142" s="2"/>
    </row>
    <row r="143" customFormat="false" ht="15.75" hidden="false" customHeight="false" outlineLevel="0" collapsed="false">
      <c r="A143" s="2"/>
      <c r="B143" s="2"/>
      <c r="C143" s="2"/>
      <c r="D143" s="2"/>
      <c r="E143" s="2"/>
      <c r="F143" s="2"/>
      <c r="G143" s="2"/>
      <c r="H143" s="2"/>
      <c r="I143" s="2"/>
      <c r="J143" s="2"/>
      <c r="K143" s="2"/>
    </row>
    <row r="144" customFormat="false" ht="15.75" hidden="false" customHeight="false" outlineLevel="0" collapsed="false">
      <c r="A144" s="2"/>
      <c r="B144" s="2"/>
      <c r="C144" s="2"/>
      <c r="D144" s="2"/>
      <c r="E144" s="2"/>
      <c r="F144" s="2"/>
      <c r="G144" s="2"/>
      <c r="H144" s="2"/>
      <c r="I144" s="2"/>
      <c r="J144" s="2"/>
      <c r="K144" s="2"/>
    </row>
    <row r="145" customFormat="false" ht="15.75" hidden="false" customHeight="false" outlineLevel="0" collapsed="false">
      <c r="A145" s="2"/>
      <c r="B145" s="2"/>
      <c r="C145" s="2"/>
      <c r="D145" s="2"/>
      <c r="E145" s="2"/>
      <c r="F145" s="2"/>
      <c r="G145" s="2"/>
      <c r="H145" s="2"/>
      <c r="I145" s="2"/>
      <c r="J145" s="2"/>
      <c r="K145" s="2"/>
    </row>
    <row r="146" customFormat="false" ht="15.75" hidden="false" customHeight="false" outlineLevel="0" collapsed="false">
      <c r="A146" s="2"/>
      <c r="B146" s="2"/>
      <c r="C146" s="2"/>
      <c r="D146" s="2"/>
      <c r="E146" s="2"/>
      <c r="F146" s="2"/>
      <c r="G146" s="2"/>
      <c r="H146" s="2"/>
      <c r="I146" s="2"/>
      <c r="J146" s="2"/>
      <c r="K146" s="2"/>
    </row>
    <row r="147" customFormat="false" ht="15.75" hidden="false" customHeight="false" outlineLevel="0" collapsed="false">
      <c r="A147" s="2"/>
      <c r="B147" s="2"/>
      <c r="C147" s="2"/>
      <c r="D147" s="2"/>
      <c r="E147" s="2"/>
      <c r="F147" s="2"/>
      <c r="G147" s="2"/>
      <c r="H147" s="2"/>
      <c r="I147" s="2"/>
      <c r="J147" s="2"/>
      <c r="K147" s="2"/>
    </row>
    <row r="148" customFormat="false" ht="15.75" hidden="false" customHeight="false" outlineLevel="0" collapsed="false">
      <c r="A148" s="2"/>
      <c r="B148" s="2"/>
      <c r="C148" s="2"/>
      <c r="D148" s="2"/>
      <c r="E148" s="2"/>
      <c r="F148" s="2"/>
      <c r="G148" s="2"/>
      <c r="H148" s="2"/>
      <c r="I148" s="2"/>
      <c r="J148" s="2"/>
      <c r="K148" s="2"/>
    </row>
    <row r="149" customFormat="false" ht="15.75" hidden="false" customHeight="false" outlineLevel="0" collapsed="false">
      <c r="A149" s="2"/>
      <c r="B149" s="2"/>
      <c r="C149" s="2"/>
      <c r="D149" s="2"/>
      <c r="E149" s="2"/>
      <c r="F149" s="2"/>
      <c r="G149" s="2"/>
      <c r="H149" s="2"/>
      <c r="I149" s="2"/>
      <c r="J149" s="2"/>
      <c r="K149" s="2"/>
    </row>
    <row r="150" customFormat="false" ht="15.75" hidden="false" customHeight="false" outlineLevel="0" collapsed="false">
      <c r="A150" s="2"/>
      <c r="B150" s="2"/>
      <c r="C150" s="2"/>
      <c r="D150" s="2"/>
      <c r="E150" s="2"/>
      <c r="F150" s="2"/>
      <c r="G150" s="2"/>
      <c r="H150" s="2"/>
      <c r="I150" s="2"/>
      <c r="J150" s="2"/>
      <c r="K150" s="2"/>
    </row>
    <row r="151" customFormat="false" ht="15.75" hidden="false" customHeight="false" outlineLevel="0" collapsed="false">
      <c r="A151" s="2"/>
      <c r="B151" s="2"/>
      <c r="C151" s="2"/>
      <c r="D151" s="2"/>
      <c r="E151" s="2"/>
      <c r="F151" s="2"/>
      <c r="G151" s="2"/>
      <c r="H151" s="2"/>
      <c r="I151" s="2"/>
      <c r="J151" s="2"/>
      <c r="K151" s="2"/>
    </row>
    <row r="152" customFormat="false" ht="15.75" hidden="false" customHeight="false" outlineLevel="0" collapsed="false">
      <c r="A152" s="2"/>
      <c r="B152" s="2"/>
      <c r="C152" s="2"/>
      <c r="D152" s="2"/>
      <c r="E152" s="2"/>
      <c r="F152" s="2"/>
      <c r="G152" s="2"/>
      <c r="H152" s="2"/>
      <c r="I152" s="2"/>
      <c r="J152" s="2"/>
      <c r="K152" s="2"/>
    </row>
    <row r="153" customFormat="false" ht="15.75" hidden="false" customHeight="false" outlineLevel="0" collapsed="false">
      <c r="A153" s="2"/>
      <c r="B153" s="2"/>
      <c r="C153" s="2"/>
      <c r="D153" s="2"/>
      <c r="E153" s="2"/>
      <c r="F153" s="2"/>
      <c r="G153" s="2"/>
      <c r="H153" s="2"/>
      <c r="I153" s="2"/>
      <c r="J153" s="2"/>
      <c r="K153" s="2"/>
    </row>
    <row r="154" customFormat="false" ht="15.75" hidden="false" customHeight="false" outlineLevel="0" collapsed="false">
      <c r="A154" s="2"/>
      <c r="B154" s="2"/>
      <c r="C154" s="2"/>
      <c r="D154" s="2"/>
      <c r="E154" s="2"/>
      <c r="F154" s="2"/>
      <c r="G154" s="2"/>
      <c r="H154" s="2"/>
      <c r="I154" s="2"/>
      <c r="J154" s="2"/>
      <c r="K154" s="2"/>
    </row>
    <row r="155" customFormat="false" ht="15.75" hidden="false" customHeight="false" outlineLevel="0" collapsed="false">
      <c r="A155" s="2"/>
      <c r="B155" s="2"/>
      <c r="C155" s="2"/>
      <c r="D155" s="2"/>
      <c r="E155" s="2"/>
      <c r="F155" s="2"/>
      <c r="G155" s="2"/>
      <c r="H155" s="2"/>
      <c r="I155" s="2"/>
      <c r="J155" s="2"/>
      <c r="K155" s="2"/>
    </row>
    <row r="156" customFormat="false" ht="15.75" hidden="false" customHeight="false" outlineLevel="0" collapsed="false">
      <c r="A156" s="2"/>
      <c r="B156" s="2"/>
      <c r="C156" s="2"/>
      <c r="D156" s="2"/>
      <c r="E156" s="2"/>
      <c r="F156" s="2"/>
      <c r="G156" s="2"/>
      <c r="H156" s="2"/>
      <c r="I156" s="2"/>
      <c r="J156" s="2"/>
      <c r="K156" s="2"/>
    </row>
    <row r="157" customFormat="false" ht="15.75" hidden="false" customHeight="false" outlineLevel="0" collapsed="false">
      <c r="A157" s="2"/>
      <c r="B157" s="2"/>
      <c r="C157" s="2"/>
      <c r="D157" s="2"/>
      <c r="E157" s="2"/>
      <c r="F157" s="2"/>
      <c r="G157" s="2"/>
      <c r="H157" s="2"/>
      <c r="I157" s="2"/>
      <c r="J157" s="2"/>
      <c r="K157" s="2"/>
    </row>
    <row r="158" customFormat="false" ht="15.75" hidden="false" customHeight="false" outlineLevel="0" collapsed="false">
      <c r="A158" s="2"/>
      <c r="B158" s="2"/>
      <c r="C158" s="2"/>
      <c r="D158" s="2"/>
      <c r="E158" s="2"/>
      <c r="F158" s="2"/>
      <c r="G158" s="2"/>
      <c r="H158" s="2"/>
      <c r="I158" s="2"/>
      <c r="J158" s="2"/>
      <c r="K158" s="2"/>
    </row>
    <row r="159" customFormat="false" ht="15.75" hidden="false" customHeight="false" outlineLevel="0" collapsed="false">
      <c r="A159" s="2"/>
      <c r="B159" s="2"/>
      <c r="C159" s="2"/>
      <c r="D159" s="2"/>
      <c r="E159" s="2"/>
      <c r="F159" s="2"/>
      <c r="G159" s="2"/>
      <c r="H159" s="2"/>
      <c r="I159" s="2"/>
      <c r="J159" s="2"/>
      <c r="K159" s="2"/>
    </row>
    <row r="160" customFormat="false" ht="15.75" hidden="false" customHeight="false" outlineLevel="0" collapsed="false">
      <c r="A160" s="2"/>
      <c r="B160" s="2"/>
      <c r="C160" s="2"/>
      <c r="D160" s="2"/>
      <c r="E160" s="2"/>
      <c r="F160" s="2"/>
      <c r="G160" s="2"/>
      <c r="H160" s="2"/>
      <c r="I160" s="2"/>
      <c r="J160" s="2"/>
      <c r="K160" s="2"/>
    </row>
    <row r="161" customFormat="false" ht="15.75" hidden="false" customHeight="false" outlineLevel="0" collapsed="false">
      <c r="A161" s="2"/>
      <c r="B161" s="2"/>
      <c r="C161" s="2"/>
      <c r="D161" s="2"/>
      <c r="E161" s="2"/>
      <c r="F161" s="2"/>
      <c r="G161" s="2"/>
      <c r="H161" s="2"/>
      <c r="I161" s="2"/>
      <c r="J161" s="2"/>
      <c r="K161" s="2"/>
    </row>
    <row r="162" customFormat="false" ht="15.75" hidden="false" customHeight="false" outlineLevel="0" collapsed="false">
      <c r="A162" s="2"/>
      <c r="B162" s="2"/>
      <c r="C162" s="2"/>
      <c r="D162" s="2"/>
      <c r="E162" s="2"/>
      <c r="F162" s="2"/>
      <c r="G162" s="2"/>
      <c r="H162" s="2"/>
      <c r="I162" s="2"/>
      <c r="J162" s="2"/>
      <c r="K162" s="2"/>
    </row>
    <row r="163" customFormat="false" ht="15.75" hidden="false" customHeight="false" outlineLevel="0" collapsed="false">
      <c r="A163" s="2"/>
      <c r="B163" s="2"/>
      <c r="C163" s="2"/>
      <c r="D163" s="2"/>
      <c r="E163" s="2"/>
      <c r="F163" s="2"/>
      <c r="G163" s="2"/>
      <c r="H163" s="2"/>
      <c r="I163" s="2"/>
      <c r="J163" s="2"/>
      <c r="K163" s="2"/>
    </row>
    <row r="164" customFormat="false" ht="15.75" hidden="false" customHeight="false" outlineLevel="0" collapsed="false">
      <c r="A164" s="2"/>
      <c r="B164" s="2"/>
      <c r="C164" s="2"/>
      <c r="D164" s="2"/>
      <c r="E164" s="2"/>
      <c r="F164" s="2"/>
      <c r="G164" s="2"/>
      <c r="H164" s="2"/>
      <c r="I164" s="2"/>
      <c r="J164" s="2"/>
      <c r="K164" s="2"/>
    </row>
    <row r="165" customFormat="false" ht="15.75" hidden="false" customHeight="false" outlineLevel="0" collapsed="false">
      <c r="A165" s="2"/>
      <c r="B165" s="2"/>
      <c r="C165" s="2"/>
      <c r="D165" s="2"/>
      <c r="E165" s="2"/>
      <c r="F165" s="2"/>
      <c r="G165" s="2"/>
      <c r="H165" s="2"/>
      <c r="I165" s="2"/>
      <c r="J165" s="2"/>
      <c r="K165" s="2"/>
    </row>
    <row r="166" customFormat="false" ht="15.75" hidden="false" customHeight="false" outlineLevel="0" collapsed="false">
      <c r="A166" s="2"/>
      <c r="B166" s="2"/>
      <c r="C166" s="2"/>
      <c r="D166" s="2"/>
      <c r="E166" s="2"/>
      <c r="F166" s="2"/>
      <c r="G166" s="2"/>
      <c r="H166" s="2"/>
      <c r="I166" s="2"/>
      <c r="J166" s="2"/>
      <c r="K166" s="2"/>
    </row>
    <row r="167" customFormat="false" ht="15.75" hidden="false" customHeight="false" outlineLevel="0" collapsed="false">
      <c r="A167" s="2"/>
      <c r="B167" s="2"/>
      <c r="C167" s="2"/>
      <c r="D167" s="2"/>
      <c r="E167" s="2"/>
      <c r="F167" s="2"/>
      <c r="G167" s="2"/>
      <c r="H167" s="2"/>
      <c r="I167" s="2"/>
      <c r="J167" s="2"/>
      <c r="K167" s="2"/>
    </row>
    <row r="168" customFormat="false" ht="15.75" hidden="false" customHeight="false" outlineLevel="0" collapsed="false">
      <c r="A168" s="2"/>
      <c r="B168" s="2"/>
      <c r="C168" s="2"/>
      <c r="D168" s="2"/>
      <c r="E168" s="2"/>
      <c r="F168" s="2"/>
      <c r="G168" s="2"/>
      <c r="H168" s="2"/>
      <c r="I168" s="2"/>
      <c r="J168" s="2"/>
      <c r="K168" s="2"/>
    </row>
    <row r="169" customFormat="false" ht="15.75" hidden="false" customHeight="false" outlineLevel="0" collapsed="false">
      <c r="A169" s="2"/>
      <c r="B169" s="2"/>
      <c r="C169" s="2"/>
      <c r="D169" s="2"/>
      <c r="E169" s="2"/>
      <c r="F169" s="2"/>
      <c r="G169" s="2"/>
      <c r="H169" s="2"/>
      <c r="I169" s="2"/>
      <c r="J169" s="2"/>
      <c r="K169" s="2"/>
    </row>
    <row r="170" customFormat="false" ht="15.75" hidden="false" customHeight="false" outlineLevel="0" collapsed="false">
      <c r="A170" s="2"/>
      <c r="B170" s="2"/>
      <c r="C170" s="2"/>
      <c r="D170" s="2"/>
      <c r="E170" s="2"/>
      <c r="F170" s="2"/>
      <c r="G170" s="2"/>
      <c r="H170" s="2"/>
      <c r="I170" s="2"/>
      <c r="J170" s="2"/>
      <c r="K170" s="2"/>
    </row>
    <row r="171" customFormat="false" ht="15.75" hidden="false" customHeight="false" outlineLevel="0" collapsed="false">
      <c r="A171" s="2"/>
      <c r="B171" s="2"/>
      <c r="C171" s="2"/>
      <c r="D171" s="2"/>
      <c r="E171" s="2"/>
      <c r="F171" s="2"/>
      <c r="G171" s="2"/>
      <c r="H171" s="2"/>
      <c r="I171" s="2"/>
      <c r="J171" s="2"/>
      <c r="K171" s="2"/>
    </row>
    <row r="172" customFormat="false" ht="15.75" hidden="false" customHeight="false" outlineLevel="0" collapsed="false">
      <c r="A172" s="2"/>
      <c r="B172" s="2"/>
      <c r="C172" s="2"/>
      <c r="D172" s="2"/>
      <c r="E172" s="2"/>
      <c r="F172" s="2"/>
      <c r="G172" s="2"/>
      <c r="H172" s="2"/>
      <c r="I172" s="2"/>
      <c r="J172" s="2"/>
      <c r="K172" s="2"/>
    </row>
    <row r="173" customFormat="false" ht="15.75" hidden="false" customHeight="false" outlineLevel="0" collapsed="false">
      <c r="A173" s="2"/>
      <c r="B173" s="2"/>
      <c r="C173" s="2"/>
      <c r="D173" s="2"/>
      <c r="E173" s="2"/>
      <c r="F173" s="2"/>
      <c r="G173" s="2"/>
      <c r="H173" s="2"/>
      <c r="I173" s="2"/>
      <c r="J173" s="2"/>
      <c r="K173" s="2"/>
    </row>
    <row r="174" customFormat="false" ht="15.75" hidden="false" customHeight="false" outlineLevel="0" collapsed="false">
      <c r="A174" s="2"/>
      <c r="B174" s="2"/>
      <c r="C174" s="2"/>
      <c r="D174" s="2"/>
      <c r="E174" s="2"/>
      <c r="F174" s="2"/>
      <c r="G174" s="2"/>
      <c r="H174" s="2"/>
      <c r="I174" s="2"/>
      <c r="J174" s="2"/>
      <c r="K174" s="2"/>
    </row>
    <row r="175" customFormat="false" ht="15.75" hidden="false" customHeight="false" outlineLevel="0" collapsed="false">
      <c r="A175" s="2"/>
      <c r="B175" s="2"/>
      <c r="C175" s="2"/>
      <c r="D175" s="2"/>
      <c r="E175" s="2"/>
      <c r="F175" s="2"/>
      <c r="G175" s="2"/>
      <c r="H175" s="2"/>
      <c r="I175" s="2"/>
      <c r="J175" s="2"/>
      <c r="K175" s="2"/>
    </row>
    <row r="176" customFormat="false" ht="15.75" hidden="false" customHeight="false" outlineLevel="0" collapsed="false">
      <c r="A176" s="2"/>
      <c r="B176" s="2"/>
      <c r="C176" s="2"/>
      <c r="D176" s="2"/>
      <c r="E176" s="2"/>
      <c r="F176" s="2"/>
      <c r="G176" s="2"/>
      <c r="H176" s="2"/>
      <c r="I176" s="2"/>
      <c r="J176" s="2"/>
      <c r="K176" s="2"/>
    </row>
    <row r="177" customFormat="false" ht="15.75" hidden="false" customHeight="false" outlineLevel="0" collapsed="false">
      <c r="A177" s="2"/>
      <c r="B177" s="2"/>
      <c r="C177" s="2"/>
      <c r="D177" s="2"/>
      <c r="E177" s="2"/>
      <c r="F177" s="2"/>
      <c r="G177" s="2"/>
      <c r="H177" s="2"/>
      <c r="I177" s="2"/>
      <c r="J177" s="2"/>
      <c r="K177" s="2"/>
    </row>
    <row r="178" customFormat="false" ht="15.75" hidden="false" customHeight="false" outlineLevel="0" collapsed="false">
      <c r="A178" s="2"/>
      <c r="B178" s="2"/>
      <c r="C178" s="2"/>
      <c r="D178" s="2"/>
      <c r="E178" s="2"/>
      <c r="F178" s="2"/>
      <c r="G178" s="2"/>
      <c r="H178" s="2"/>
      <c r="I178" s="2"/>
      <c r="J178" s="2"/>
      <c r="K178" s="2"/>
    </row>
    <row r="179" customFormat="false" ht="15.75" hidden="false" customHeight="false" outlineLevel="0" collapsed="false">
      <c r="A179" s="2"/>
      <c r="B179" s="2"/>
      <c r="C179" s="2"/>
      <c r="D179" s="2"/>
      <c r="E179" s="2"/>
      <c r="F179" s="2"/>
      <c r="G179" s="2"/>
      <c r="H179" s="2"/>
      <c r="I179" s="2"/>
      <c r="J179" s="2"/>
      <c r="K179" s="2"/>
    </row>
    <row r="180" customFormat="false" ht="15.75" hidden="false" customHeight="false" outlineLevel="0" collapsed="false">
      <c r="A180" s="2"/>
      <c r="B180" s="2"/>
      <c r="C180" s="2"/>
      <c r="D180" s="2"/>
      <c r="E180" s="2"/>
      <c r="F180" s="2"/>
      <c r="G180" s="2"/>
      <c r="H180" s="2"/>
      <c r="I180" s="2"/>
      <c r="J180" s="2"/>
      <c r="K180" s="2"/>
    </row>
    <row r="181" customFormat="false" ht="15.75" hidden="false" customHeight="false" outlineLevel="0" collapsed="false">
      <c r="A181" s="2"/>
      <c r="B181" s="2"/>
      <c r="C181" s="2"/>
      <c r="D181" s="2"/>
      <c r="E181" s="2"/>
      <c r="F181" s="2"/>
      <c r="G181" s="2"/>
      <c r="H181" s="2"/>
      <c r="I181" s="2"/>
      <c r="J181" s="2"/>
      <c r="K181" s="2"/>
    </row>
    <row r="182" customFormat="false" ht="15.75" hidden="false" customHeight="false" outlineLevel="0" collapsed="false">
      <c r="A182" s="2"/>
      <c r="B182" s="2"/>
      <c r="C182" s="2"/>
      <c r="D182" s="2"/>
      <c r="E182" s="2"/>
      <c r="F182" s="2"/>
      <c r="G182" s="2"/>
      <c r="H182" s="2"/>
      <c r="I182" s="2"/>
      <c r="J182" s="2"/>
      <c r="K182" s="2"/>
    </row>
    <row r="183" customFormat="false" ht="15.75" hidden="false" customHeight="false" outlineLevel="0" collapsed="false">
      <c r="A183" s="2"/>
      <c r="B183" s="2"/>
      <c r="C183" s="2"/>
      <c r="D183" s="2"/>
      <c r="E183" s="2"/>
      <c r="F183" s="2"/>
      <c r="G183" s="2"/>
      <c r="H183" s="2"/>
      <c r="I183" s="2"/>
      <c r="J183" s="2"/>
      <c r="K183" s="2"/>
    </row>
    <row r="184" customFormat="false" ht="15.75" hidden="false" customHeight="false" outlineLevel="0" collapsed="false">
      <c r="A184" s="2"/>
      <c r="B184" s="2"/>
      <c r="C184" s="2"/>
      <c r="D184" s="2"/>
      <c r="E184" s="2"/>
      <c r="F184" s="2"/>
      <c r="G184" s="2"/>
      <c r="H184" s="2"/>
      <c r="I184" s="2"/>
      <c r="J184" s="2"/>
      <c r="K184" s="2"/>
    </row>
    <row r="185" customFormat="false" ht="15.75" hidden="false" customHeight="false" outlineLevel="0" collapsed="false">
      <c r="A185" s="2"/>
      <c r="B185" s="2"/>
      <c r="C185" s="2"/>
      <c r="D185" s="2"/>
      <c r="E185" s="2"/>
      <c r="F185" s="2"/>
      <c r="G185" s="2"/>
      <c r="H185" s="2"/>
      <c r="I185" s="2"/>
      <c r="J185" s="2"/>
      <c r="K185" s="2"/>
    </row>
    <row r="186" customFormat="false" ht="15.75" hidden="false" customHeight="false" outlineLevel="0" collapsed="false">
      <c r="A186" s="2"/>
      <c r="B186" s="2"/>
      <c r="C186" s="2"/>
      <c r="D186" s="2"/>
      <c r="E186" s="2"/>
      <c r="F186" s="2"/>
      <c r="G186" s="2"/>
      <c r="H186" s="2"/>
      <c r="I186" s="2"/>
      <c r="J186" s="2"/>
      <c r="K186" s="2"/>
    </row>
    <row r="187" customFormat="false" ht="15.75" hidden="false" customHeight="false" outlineLevel="0" collapsed="false">
      <c r="A187" s="2"/>
      <c r="B187" s="2"/>
      <c r="C187" s="2"/>
      <c r="D187" s="2"/>
      <c r="E187" s="2"/>
      <c r="F187" s="2"/>
      <c r="G187" s="2"/>
      <c r="H187" s="2"/>
      <c r="I187" s="2"/>
      <c r="J187" s="2"/>
      <c r="K187" s="2"/>
    </row>
    <row r="188" customFormat="false" ht="15.75" hidden="false" customHeight="false" outlineLevel="0" collapsed="false">
      <c r="A188" s="2"/>
      <c r="B188" s="2"/>
      <c r="C188" s="2"/>
      <c r="D188" s="2"/>
      <c r="E188" s="2"/>
      <c r="F188" s="2"/>
      <c r="G188" s="2"/>
      <c r="H188" s="2"/>
      <c r="I188" s="2"/>
      <c r="J188" s="2"/>
      <c r="K188" s="2"/>
    </row>
    <row r="189" customFormat="false" ht="15.75" hidden="false" customHeight="false" outlineLevel="0" collapsed="false">
      <c r="A189" s="2"/>
      <c r="B189" s="2"/>
      <c r="C189" s="2"/>
      <c r="D189" s="2"/>
      <c r="E189" s="2"/>
      <c r="F189" s="2"/>
      <c r="G189" s="2"/>
      <c r="H189" s="2"/>
      <c r="I189" s="2"/>
      <c r="J189" s="2"/>
      <c r="K189" s="2"/>
    </row>
    <row r="190" customFormat="false" ht="15.75" hidden="false" customHeight="false" outlineLevel="0" collapsed="false">
      <c r="A190" s="2"/>
      <c r="B190" s="2"/>
      <c r="C190" s="2"/>
      <c r="D190" s="2"/>
      <c r="E190" s="2"/>
      <c r="F190" s="2"/>
      <c r="G190" s="2"/>
      <c r="H190" s="2"/>
      <c r="I190" s="2"/>
      <c r="J190" s="2"/>
      <c r="K190" s="2"/>
    </row>
    <row r="191" customFormat="false" ht="15.75" hidden="false" customHeight="false" outlineLevel="0" collapsed="false">
      <c r="A191" s="2"/>
      <c r="B191" s="2"/>
      <c r="C191" s="2"/>
      <c r="D191" s="2"/>
      <c r="E191" s="2"/>
      <c r="F191" s="2"/>
      <c r="G191" s="2"/>
      <c r="H191" s="2"/>
      <c r="I191" s="2"/>
      <c r="J191" s="2"/>
      <c r="K191" s="2"/>
    </row>
    <row r="192" customFormat="false" ht="15.75" hidden="false" customHeight="false" outlineLevel="0" collapsed="false">
      <c r="A192" s="2"/>
      <c r="B192" s="2"/>
      <c r="C192" s="2"/>
      <c r="D192" s="2"/>
      <c r="E192" s="2"/>
      <c r="F192" s="2"/>
      <c r="G192" s="2"/>
      <c r="H192" s="2"/>
      <c r="I192" s="2"/>
      <c r="J192" s="2"/>
      <c r="K192" s="2"/>
    </row>
    <row r="193" customFormat="false" ht="15.75" hidden="false" customHeight="false" outlineLevel="0" collapsed="false">
      <c r="A193" s="2"/>
      <c r="B193" s="2"/>
      <c r="C193" s="2"/>
      <c r="D193" s="2"/>
      <c r="E193" s="2"/>
      <c r="F193" s="2"/>
      <c r="G193" s="2"/>
      <c r="H193" s="2"/>
      <c r="I193" s="2"/>
      <c r="J193" s="2"/>
      <c r="K193" s="2"/>
    </row>
    <row r="194" customFormat="false" ht="15.75" hidden="false" customHeight="false" outlineLevel="0" collapsed="false">
      <c r="A194" s="2"/>
      <c r="B194" s="2"/>
      <c r="C194" s="2"/>
      <c r="D194" s="2"/>
      <c r="E194" s="2"/>
      <c r="F194" s="2"/>
      <c r="G194" s="2"/>
      <c r="H194" s="2"/>
      <c r="I194" s="2"/>
      <c r="J194" s="2"/>
      <c r="K194" s="2"/>
    </row>
    <row r="195" customFormat="false" ht="15.75" hidden="false" customHeight="false" outlineLevel="0" collapsed="false">
      <c r="A195" s="2"/>
      <c r="B195" s="2"/>
      <c r="C195" s="2"/>
      <c r="D195" s="2"/>
      <c r="E195" s="2"/>
      <c r="F195" s="2"/>
      <c r="G195" s="2"/>
      <c r="H195" s="2"/>
      <c r="I195" s="2"/>
      <c r="J195" s="2"/>
      <c r="K195" s="2"/>
    </row>
    <row r="196" customFormat="false" ht="15.75" hidden="false" customHeight="false" outlineLevel="0" collapsed="false">
      <c r="A196" s="2"/>
      <c r="B196" s="2"/>
      <c r="C196" s="2"/>
      <c r="D196" s="2"/>
      <c r="E196" s="2"/>
      <c r="F196" s="2"/>
      <c r="G196" s="2"/>
      <c r="H196" s="2"/>
      <c r="I196" s="2"/>
      <c r="J196" s="2"/>
      <c r="K196" s="2"/>
    </row>
    <row r="197" customFormat="false" ht="15.75" hidden="false" customHeight="false" outlineLevel="0" collapsed="false">
      <c r="A197" s="2"/>
      <c r="B197" s="2"/>
      <c r="C197" s="2"/>
      <c r="D197" s="2"/>
      <c r="E197" s="2"/>
      <c r="F197" s="2"/>
      <c r="G197" s="2"/>
      <c r="H197" s="2"/>
      <c r="I197" s="2"/>
      <c r="J197" s="2"/>
      <c r="K197" s="2"/>
    </row>
    <row r="198" customFormat="false" ht="15.75" hidden="false" customHeight="false" outlineLevel="0" collapsed="false">
      <c r="A198" s="2"/>
      <c r="B198" s="2"/>
      <c r="C198" s="2"/>
      <c r="D198" s="2"/>
      <c r="E198" s="2"/>
      <c r="F198" s="2"/>
      <c r="G198" s="2"/>
      <c r="H198" s="2"/>
      <c r="I198" s="2"/>
      <c r="J198" s="2"/>
      <c r="K198" s="2"/>
    </row>
    <row r="199" customFormat="false" ht="15.75" hidden="false" customHeight="false" outlineLevel="0" collapsed="false">
      <c r="A199" s="2"/>
      <c r="B199" s="2"/>
      <c r="C199" s="2"/>
      <c r="D199" s="2"/>
      <c r="E199" s="2"/>
      <c r="F199" s="2"/>
      <c r="G199" s="2"/>
      <c r="H199" s="2"/>
      <c r="I199" s="2"/>
      <c r="J199" s="2"/>
      <c r="K199" s="2"/>
    </row>
    <row r="200" customFormat="false" ht="15.75" hidden="false" customHeight="false" outlineLevel="0" collapsed="false">
      <c r="A200" s="2"/>
      <c r="B200" s="2"/>
      <c r="C200" s="2"/>
      <c r="D200" s="2"/>
      <c r="E200" s="2"/>
      <c r="F200" s="2"/>
      <c r="G200" s="2"/>
      <c r="H200" s="2"/>
      <c r="I200" s="2"/>
      <c r="J200" s="2"/>
      <c r="K200" s="2"/>
    </row>
    <row r="201" customFormat="false" ht="15.75" hidden="false" customHeight="false" outlineLevel="0" collapsed="false">
      <c r="A201" s="2"/>
      <c r="B201" s="2"/>
      <c r="C201" s="2"/>
      <c r="D201" s="2"/>
      <c r="E201" s="2"/>
      <c r="F201" s="2"/>
      <c r="G201" s="2"/>
      <c r="H201" s="2"/>
      <c r="I201" s="2"/>
      <c r="J201" s="2"/>
      <c r="K201" s="2"/>
    </row>
    <row r="202" customFormat="false" ht="15.75" hidden="false" customHeight="false" outlineLevel="0" collapsed="false">
      <c r="A202" s="2"/>
      <c r="B202" s="2"/>
      <c r="C202" s="2"/>
      <c r="D202" s="2"/>
      <c r="E202" s="2"/>
      <c r="F202" s="2"/>
      <c r="G202" s="2"/>
      <c r="H202" s="2"/>
      <c r="I202" s="2"/>
      <c r="J202" s="2"/>
      <c r="K202" s="2"/>
    </row>
    <row r="203" customFormat="false" ht="15.75" hidden="false" customHeight="false" outlineLevel="0" collapsed="false">
      <c r="A203" s="2"/>
      <c r="B203" s="2"/>
      <c r="C203" s="2"/>
      <c r="D203" s="2"/>
      <c r="E203" s="2"/>
      <c r="F203" s="2"/>
      <c r="G203" s="2"/>
      <c r="H203" s="2"/>
      <c r="I203" s="2"/>
      <c r="J203" s="2"/>
      <c r="K203" s="2"/>
    </row>
    <row r="204" customFormat="false" ht="15.75" hidden="false" customHeight="false" outlineLevel="0" collapsed="false">
      <c r="A204" s="2"/>
      <c r="B204" s="2"/>
      <c r="C204" s="2"/>
      <c r="D204" s="2"/>
      <c r="E204" s="2"/>
      <c r="F204" s="2"/>
      <c r="G204" s="2"/>
      <c r="H204" s="2"/>
      <c r="I204" s="2"/>
      <c r="J204" s="2"/>
      <c r="K204" s="2"/>
    </row>
    <row r="205" customFormat="false" ht="15.75" hidden="false" customHeight="false" outlineLevel="0" collapsed="false">
      <c r="A205" s="2"/>
      <c r="B205" s="2"/>
      <c r="C205" s="2"/>
      <c r="D205" s="2"/>
      <c r="E205" s="2"/>
      <c r="F205" s="2"/>
      <c r="G205" s="2"/>
      <c r="H205" s="2"/>
      <c r="I205" s="2"/>
      <c r="J205" s="2"/>
      <c r="K205" s="2"/>
    </row>
    <row r="206" customFormat="false" ht="15.75" hidden="false" customHeight="false" outlineLevel="0" collapsed="false">
      <c r="A206" s="2"/>
      <c r="B206" s="2"/>
      <c r="C206" s="2"/>
      <c r="D206" s="2"/>
      <c r="E206" s="2"/>
      <c r="F206" s="2"/>
      <c r="G206" s="2"/>
      <c r="H206" s="2"/>
      <c r="I206" s="2"/>
      <c r="J206" s="2"/>
      <c r="K206" s="2"/>
    </row>
    <row r="207" customFormat="false" ht="15.75" hidden="false" customHeight="false" outlineLevel="0" collapsed="false">
      <c r="A207" s="2"/>
      <c r="B207" s="2"/>
      <c r="C207" s="2"/>
      <c r="D207" s="2"/>
      <c r="E207" s="2"/>
      <c r="F207" s="2"/>
      <c r="G207" s="2"/>
      <c r="H207" s="2"/>
      <c r="I207" s="2"/>
      <c r="J207" s="2"/>
      <c r="K207" s="2"/>
    </row>
    <row r="208" customFormat="false" ht="15.75" hidden="false" customHeight="false" outlineLevel="0" collapsed="false">
      <c r="A208" s="2"/>
      <c r="B208" s="2"/>
      <c r="C208" s="2"/>
      <c r="D208" s="2"/>
      <c r="E208" s="2"/>
      <c r="F208" s="2"/>
      <c r="G208" s="2"/>
      <c r="H208" s="2"/>
      <c r="I208" s="2"/>
      <c r="J208" s="2"/>
      <c r="K208" s="2"/>
    </row>
    <row r="209" customFormat="false" ht="15.75" hidden="false" customHeight="false" outlineLevel="0" collapsed="false">
      <c r="A209" s="2"/>
      <c r="B209" s="2"/>
      <c r="C209" s="2"/>
      <c r="D209" s="2"/>
      <c r="E209" s="2"/>
      <c r="F209" s="2"/>
      <c r="G209" s="2"/>
      <c r="H209" s="2"/>
      <c r="I209" s="2"/>
      <c r="J209" s="2"/>
      <c r="K209" s="2"/>
    </row>
    <row r="210" customFormat="false" ht="15.75" hidden="false" customHeight="false" outlineLevel="0" collapsed="false">
      <c r="A210" s="2"/>
      <c r="B210" s="2"/>
      <c r="C210" s="2"/>
      <c r="D210" s="2"/>
      <c r="E210" s="2"/>
      <c r="F210" s="2"/>
      <c r="G210" s="2"/>
      <c r="H210" s="2"/>
      <c r="I210" s="2"/>
      <c r="J210" s="2"/>
      <c r="K210" s="2"/>
    </row>
    <row r="211" customFormat="false" ht="15.75" hidden="false" customHeight="false" outlineLevel="0" collapsed="false">
      <c r="A211" s="2"/>
      <c r="B211" s="2"/>
      <c r="C211" s="2"/>
      <c r="D211" s="2"/>
      <c r="E211" s="2"/>
      <c r="F211" s="2"/>
      <c r="G211" s="2"/>
      <c r="H211" s="2"/>
      <c r="I211" s="2"/>
      <c r="J211" s="2"/>
      <c r="K211" s="2"/>
    </row>
    <row r="212" customFormat="false" ht="15.75" hidden="false" customHeight="false" outlineLevel="0" collapsed="false">
      <c r="A212" s="2"/>
      <c r="B212" s="2"/>
      <c r="C212" s="2"/>
      <c r="D212" s="2"/>
      <c r="E212" s="2"/>
      <c r="F212" s="2"/>
      <c r="G212" s="2"/>
      <c r="H212" s="2"/>
      <c r="I212" s="2"/>
      <c r="J212" s="2"/>
      <c r="K212" s="2"/>
    </row>
    <row r="213" customFormat="false" ht="15.75" hidden="false" customHeight="false" outlineLevel="0" collapsed="false">
      <c r="A213" s="2"/>
      <c r="B213" s="2"/>
      <c r="C213" s="2"/>
      <c r="D213" s="2"/>
      <c r="E213" s="2"/>
      <c r="F213" s="2"/>
      <c r="G213" s="2"/>
      <c r="H213" s="2"/>
      <c r="I213" s="2"/>
      <c r="J213" s="2"/>
      <c r="K213" s="2"/>
    </row>
    <row r="214" customFormat="false" ht="15.75" hidden="false" customHeight="false" outlineLevel="0" collapsed="false">
      <c r="A214" s="2"/>
      <c r="B214" s="2"/>
      <c r="C214" s="2"/>
      <c r="D214" s="2"/>
      <c r="E214" s="2"/>
      <c r="F214" s="2"/>
      <c r="G214" s="2"/>
      <c r="H214" s="2"/>
      <c r="I214" s="2"/>
      <c r="J214" s="2"/>
      <c r="K214" s="2"/>
    </row>
    <row r="215" customFormat="false" ht="15.75" hidden="false" customHeight="false" outlineLevel="0" collapsed="false">
      <c r="A215" s="2"/>
      <c r="B215" s="2"/>
      <c r="C215" s="2"/>
      <c r="D215" s="2"/>
      <c r="E215" s="2"/>
      <c r="F215" s="2"/>
      <c r="G215" s="2"/>
      <c r="H215" s="2"/>
      <c r="I215" s="2"/>
      <c r="J215" s="2"/>
      <c r="K215" s="2"/>
    </row>
    <row r="216" customFormat="false" ht="15.75" hidden="false" customHeight="false" outlineLevel="0" collapsed="false">
      <c r="A216" s="2"/>
      <c r="B216" s="2"/>
      <c r="C216" s="2"/>
      <c r="D216" s="2"/>
      <c r="E216" s="2"/>
      <c r="F216" s="2"/>
      <c r="G216" s="2"/>
      <c r="H216" s="2"/>
      <c r="I216" s="2"/>
      <c r="J216" s="2"/>
      <c r="K216" s="2"/>
    </row>
    <row r="217" customFormat="false" ht="15.75" hidden="false" customHeight="false" outlineLevel="0" collapsed="false">
      <c r="A217" s="2"/>
      <c r="B217" s="2"/>
      <c r="C217" s="2"/>
      <c r="D217" s="2"/>
      <c r="E217" s="2"/>
      <c r="F217" s="2"/>
      <c r="G217" s="2"/>
      <c r="H217" s="2"/>
      <c r="I217" s="2"/>
      <c r="J217" s="2"/>
      <c r="K217" s="2"/>
    </row>
    <row r="218" customFormat="false" ht="15.75" hidden="false" customHeight="false" outlineLevel="0" collapsed="false">
      <c r="A218" s="2"/>
      <c r="B218" s="2"/>
      <c r="C218" s="2"/>
      <c r="D218" s="2"/>
      <c r="E218" s="2"/>
      <c r="F218" s="2"/>
      <c r="G218" s="2"/>
      <c r="H218" s="2"/>
      <c r="I218" s="2"/>
      <c r="J218" s="2"/>
      <c r="K218" s="2"/>
    </row>
    <row r="219" customFormat="false" ht="15.75" hidden="false" customHeight="false" outlineLevel="0" collapsed="false">
      <c r="A219" s="2"/>
      <c r="B219" s="2"/>
      <c r="C219" s="2"/>
      <c r="D219" s="2"/>
      <c r="E219" s="2"/>
      <c r="F219" s="2"/>
      <c r="G219" s="2"/>
      <c r="H219" s="2"/>
      <c r="I219" s="2"/>
      <c r="J219" s="2"/>
      <c r="K219" s="2"/>
    </row>
    <row r="220" customFormat="false" ht="15.75" hidden="false" customHeight="false" outlineLevel="0" collapsed="false">
      <c r="A220" s="2"/>
      <c r="B220" s="2"/>
      <c r="C220" s="2"/>
      <c r="D220" s="2"/>
      <c r="E220" s="2"/>
      <c r="F220" s="2"/>
      <c r="G220" s="2"/>
      <c r="H220" s="2"/>
      <c r="I220" s="2"/>
      <c r="J220" s="2"/>
      <c r="K220" s="2"/>
    </row>
    <row r="221" customFormat="false" ht="15.75" hidden="false" customHeight="false" outlineLevel="0" collapsed="false">
      <c r="A221" s="2"/>
      <c r="B221" s="2"/>
      <c r="C221" s="2"/>
      <c r="D221" s="2"/>
      <c r="E221" s="2"/>
      <c r="F221" s="2"/>
      <c r="G221" s="2"/>
      <c r="H221" s="2"/>
      <c r="I221" s="2"/>
      <c r="J221" s="2"/>
      <c r="K221" s="2"/>
    </row>
    <row r="222" customFormat="false" ht="15.75" hidden="false" customHeight="false" outlineLevel="0" collapsed="false">
      <c r="A222" s="2"/>
      <c r="B222" s="2"/>
      <c r="C222" s="2"/>
      <c r="D222" s="2"/>
      <c r="E222" s="2"/>
      <c r="F222" s="2"/>
      <c r="G222" s="2"/>
      <c r="H222" s="2"/>
      <c r="I222" s="2"/>
      <c r="J222" s="2"/>
      <c r="K222" s="2"/>
    </row>
    <row r="223" customFormat="false" ht="15.75" hidden="false" customHeight="false" outlineLevel="0" collapsed="false">
      <c r="A223" s="2"/>
      <c r="B223" s="2"/>
      <c r="C223" s="2"/>
      <c r="D223" s="2"/>
      <c r="E223" s="2"/>
      <c r="F223" s="2"/>
      <c r="G223" s="2"/>
      <c r="H223" s="2"/>
      <c r="I223" s="2"/>
      <c r="J223" s="2"/>
      <c r="K223" s="2"/>
    </row>
    <row r="224" customFormat="false" ht="15.75" hidden="false" customHeight="false" outlineLevel="0" collapsed="false">
      <c r="A224" s="2"/>
      <c r="B224" s="2"/>
      <c r="C224" s="2"/>
      <c r="D224" s="2"/>
      <c r="E224" s="2"/>
      <c r="F224" s="2"/>
      <c r="G224" s="2"/>
      <c r="H224" s="2"/>
      <c r="I224" s="2"/>
      <c r="J224" s="2"/>
      <c r="K224" s="2"/>
    </row>
    <row r="225" customFormat="false" ht="15.75" hidden="false" customHeight="false" outlineLevel="0" collapsed="false">
      <c r="A225" s="2"/>
      <c r="B225" s="2"/>
      <c r="C225" s="2"/>
      <c r="D225" s="2"/>
      <c r="E225" s="2"/>
      <c r="F225" s="2"/>
      <c r="G225" s="2"/>
      <c r="H225" s="2"/>
      <c r="I225" s="2"/>
      <c r="J225" s="2"/>
      <c r="K225" s="2"/>
    </row>
    <row r="226" customFormat="false" ht="15.75" hidden="false" customHeight="false" outlineLevel="0" collapsed="false">
      <c r="A226" s="2"/>
      <c r="B226" s="2"/>
      <c r="C226" s="2"/>
      <c r="D226" s="2"/>
      <c r="E226" s="2"/>
      <c r="F226" s="2"/>
      <c r="G226" s="2"/>
      <c r="H226" s="2"/>
      <c r="I226" s="2"/>
      <c r="J226" s="2"/>
      <c r="K226" s="2"/>
    </row>
    <row r="227" customFormat="false" ht="15.75" hidden="false" customHeight="false" outlineLevel="0" collapsed="false">
      <c r="A227" s="2"/>
      <c r="B227" s="2"/>
      <c r="C227" s="2"/>
      <c r="D227" s="2"/>
      <c r="E227" s="2"/>
      <c r="F227" s="2"/>
      <c r="G227" s="2"/>
      <c r="H227" s="2"/>
      <c r="I227" s="2"/>
      <c r="J227" s="2"/>
      <c r="K227" s="2"/>
    </row>
    <row r="228" customFormat="false" ht="15.75" hidden="false" customHeight="false" outlineLevel="0" collapsed="false">
      <c r="A228" s="2"/>
      <c r="B228" s="2"/>
      <c r="C228" s="2"/>
      <c r="D228" s="2"/>
      <c r="E228" s="2"/>
      <c r="F228" s="2"/>
      <c r="G228" s="2"/>
      <c r="H228" s="2"/>
      <c r="I228" s="2"/>
      <c r="J228" s="2"/>
      <c r="K228" s="2"/>
    </row>
    <row r="229" customFormat="false" ht="15.75" hidden="false" customHeight="false" outlineLevel="0" collapsed="false">
      <c r="A229" s="2"/>
      <c r="B229" s="2"/>
      <c r="C229" s="2"/>
      <c r="D229" s="2"/>
      <c r="E229" s="2"/>
      <c r="F229" s="2"/>
      <c r="G229" s="2"/>
      <c r="H229" s="2"/>
      <c r="I229" s="2"/>
      <c r="J229" s="2"/>
      <c r="K229" s="2"/>
    </row>
    <row r="230" customFormat="false" ht="15.75" hidden="false" customHeight="false" outlineLevel="0" collapsed="false">
      <c r="A230" s="2"/>
      <c r="B230" s="2"/>
      <c r="C230" s="2"/>
      <c r="D230" s="2"/>
      <c r="E230" s="2"/>
      <c r="F230" s="2"/>
      <c r="G230" s="2"/>
      <c r="H230" s="2"/>
      <c r="I230" s="2"/>
      <c r="J230" s="2"/>
      <c r="K230" s="2"/>
    </row>
    <row r="231" customFormat="false" ht="15.75" hidden="false" customHeight="false" outlineLevel="0" collapsed="false">
      <c r="A231" s="2"/>
      <c r="B231" s="2"/>
      <c r="C231" s="2"/>
      <c r="D231" s="2"/>
      <c r="E231" s="2"/>
      <c r="F231" s="2"/>
      <c r="G231" s="2"/>
      <c r="H231" s="2"/>
      <c r="I231" s="2"/>
      <c r="J231" s="2"/>
      <c r="K231" s="2"/>
    </row>
    <row r="232" customFormat="false" ht="15.75" hidden="false" customHeight="false" outlineLevel="0" collapsed="false">
      <c r="A232" s="2"/>
      <c r="B232" s="2"/>
      <c r="C232" s="2"/>
      <c r="D232" s="2"/>
      <c r="E232" s="2"/>
      <c r="F232" s="2"/>
      <c r="G232" s="2"/>
      <c r="H232" s="2"/>
      <c r="I232" s="2"/>
      <c r="J232" s="2"/>
      <c r="K232" s="2"/>
    </row>
    <row r="233" customFormat="false" ht="15.75" hidden="false" customHeight="false" outlineLevel="0" collapsed="false">
      <c r="A233" s="2"/>
      <c r="B233" s="2"/>
      <c r="C233" s="2"/>
      <c r="D233" s="2"/>
      <c r="E233" s="2"/>
      <c r="F233" s="2"/>
      <c r="G233" s="2"/>
      <c r="H233" s="2"/>
      <c r="I233" s="2"/>
      <c r="J233" s="2"/>
      <c r="K233" s="2"/>
    </row>
    <row r="234" customFormat="false" ht="15.75" hidden="false" customHeight="false" outlineLevel="0" collapsed="false">
      <c r="A234" s="2"/>
      <c r="B234" s="2"/>
      <c r="C234" s="2"/>
      <c r="D234" s="2"/>
      <c r="E234" s="2"/>
      <c r="F234" s="2"/>
      <c r="G234" s="2"/>
      <c r="H234" s="2"/>
      <c r="I234" s="2"/>
      <c r="J234" s="2"/>
      <c r="K234" s="2"/>
    </row>
    <row r="235" customFormat="false" ht="15.75" hidden="false" customHeight="false" outlineLevel="0" collapsed="false">
      <c r="A235" s="2"/>
      <c r="B235" s="2"/>
      <c r="C235" s="2"/>
      <c r="D235" s="2"/>
      <c r="E235" s="2"/>
      <c r="F235" s="2"/>
      <c r="G235" s="2"/>
      <c r="H235" s="2"/>
      <c r="I235" s="2"/>
      <c r="J235" s="2"/>
      <c r="K235" s="2"/>
    </row>
    <row r="236" customFormat="false" ht="15.75" hidden="false" customHeight="false" outlineLevel="0" collapsed="false">
      <c r="A236" s="2"/>
      <c r="B236" s="2"/>
      <c r="C236" s="2"/>
      <c r="D236" s="2"/>
      <c r="E236" s="2"/>
      <c r="F236" s="2"/>
      <c r="G236" s="2"/>
      <c r="H236" s="2"/>
      <c r="I236" s="2"/>
      <c r="J236" s="2"/>
      <c r="K236" s="2"/>
    </row>
    <row r="237" customFormat="false" ht="15.75" hidden="false" customHeight="false" outlineLevel="0" collapsed="false">
      <c r="A237" s="2"/>
      <c r="B237" s="2"/>
      <c r="C237" s="2"/>
      <c r="D237" s="2"/>
      <c r="E237" s="2"/>
      <c r="F237" s="2"/>
      <c r="G237" s="2"/>
      <c r="H237" s="2"/>
      <c r="I237" s="2"/>
      <c r="J237" s="2"/>
      <c r="K237" s="2"/>
    </row>
    <row r="238" customFormat="false" ht="15.75" hidden="false" customHeight="false" outlineLevel="0" collapsed="false">
      <c r="A238" s="2"/>
      <c r="B238" s="2"/>
      <c r="C238" s="2"/>
      <c r="D238" s="2"/>
      <c r="E238" s="2"/>
      <c r="F238" s="2"/>
      <c r="G238" s="2"/>
      <c r="H238" s="2"/>
      <c r="I238" s="2"/>
      <c r="J238" s="2"/>
      <c r="K238" s="2"/>
    </row>
    <row r="239" customFormat="false" ht="15.75" hidden="false" customHeight="false" outlineLevel="0" collapsed="false">
      <c r="A239" s="2"/>
      <c r="B239" s="2"/>
      <c r="C239" s="2"/>
      <c r="D239" s="2"/>
      <c r="E239" s="2"/>
      <c r="F239" s="2"/>
      <c r="G239" s="2"/>
      <c r="H239" s="2"/>
      <c r="I239" s="2"/>
      <c r="J239" s="2"/>
      <c r="K239" s="2"/>
    </row>
    <row r="240" customFormat="false" ht="15.75" hidden="false" customHeight="false" outlineLevel="0" collapsed="false">
      <c r="A240" s="2"/>
      <c r="B240" s="2"/>
      <c r="C240" s="2"/>
      <c r="D240" s="2"/>
      <c r="E240" s="2"/>
      <c r="F240" s="2"/>
      <c r="G240" s="2"/>
      <c r="H240" s="2"/>
      <c r="I240" s="2"/>
      <c r="J240" s="2"/>
      <c r="K240" s="2"/>
    </row>
    <row r="241" customFormat="false" ht="15.75" hidden="false" customHeight="false" outlineLevel="0" collapsed="false">
      <c r="A241" s="2"/>
      <c r="B241" s="2"/>
      <c r="C241" s="2"/>
      <c r="D241" s="2"/>
      <c r="E241" s="2"/>
      <c r="F241" s="2"/>
      <c r="G241" s="2"/>
      <c r="H241" s="2"/>
      <c r="I241" s="2"/>
      <c r="J241" s="2"/>
      <c r="K241" s="2"/>
    </row>
    <row r="242" customFormat="false" ht="15.75" hidden="false" customHeight="false" outlineLevel="0" collapsed="false">
      <c r="A242" s="2"/>
      <c r="B242" s="2"/>
      <c r="C242" s="2"/>
      <c r="D242" s="2"/>
      <c r="E242" s="2"/>
      <c r="F242" s="2"/>
      <c r="G242" s="2"/>
      <c r="H242" s="2"/>
      <c r="I242" s="2"/>
      <c r="J242" s="2"/>
      <c r="K242" s="2"/>
    </row>
    <row r="243" customFormat="false" ht="15.75" hidden="false" customHeight="false" outlineLevel="0" collapsed="false">
      <c r="A243" s="2"/>
      <c r="B243" s="2"/>
      <c r="C243" s="2"/>
      <c r="D243" s="2"/>
      <c r="E243" s="2"/>
      <c r="F243" s="2"/>
      <c r="G243" s="2"/>
      <c r="H243" s="2"/>
      <c r="I243" s="2"/>
      <c r="J243" s="2"/>
      <c r="K243" s="2"/>
    </row>
    <row r="244" customFormat="false" ht="15.75" hidden="false" customHeight="false" outlineLevel="0" collapsed="false">
      <c r="A244" s="2"/>
      <c r="B244" s="2"/>
      <c r="C244" s="2"/>
      <c r="D244" s="2"/>
      <c r="E244" s="2"/>
      <c r="F244" s="2"/>
      <c r="G244" s="2"/>
      <c r="H244" s="2"/>
      <c r="I244" s="2"/>
      <c r="J244" s="2"/>
      <c r="K244" s="2"/>
    </row>
    <row r="245" customFormat="false" ht="15.75" hidden="false" customHeight="false" outlineLevel="0" collapsed="false">
      <c r="A245" s="2"/>
      <c r="B245" s="2"/>
      <c r="C245" s="2"/>
      <c r="D245" s="2"/>
      <c r="E245" s="2"/>
      <c r="F245" s="2"/>
      <c r="G245" s="2"/>
      <c r="H245" s="2"/>
      <c r="I245" s="2"/>
      <c r="J245" s="2"/>
      <c r="K245" s="2"/>
    </row>
    <row r="246" customFormat="false" ht="15.75" hidden="false" customHeight="false" outlineLevel="0" collapsed="false">
      <c r="A246" s="2"/>
      <c r="B246" s="2"/>
      <c r="C246" s="2"/>
      <c r="D246" s="2"/>
      <c r="E246" s="2"/>
      <c r="F246" s="2"/>
      <c r="G246" s="2"/>
      <c r="H246" s="2"/>
      <c r="I246" s="2"/>
      <c r="J246" s="2"/>
      <c r="K246" s="2"/>
    </row>
    <row r="247" customFormat="false" ht="15.75" hidden="false" customHeight="false" outlineLevel="0" collapsed="false">
      <c r="A247" s="2"/>
      <c r="B247" s="2"/>
      <c r="C247" s="2"/>
      <c r="D247" s="2"/>
      <c r="E247" s="2"/>
      <c r="F247" s="2"/>
      <c r="G247" s="2"/>
      <c r="H247" s="2"/>
      <c r="I247" s="2"/>
      <c r="J247" s="2"/>
      <c r="K247" s="2"/>
    </row>
    <row r="248" customFormat="false" ht="15.75" hidden="false" customHeight="false" outlineLevel="0" collapsed="false">
      <c r="A248" s="2"/>
      <c r="B248" s="2"/>
      <c r="C248" s="2"/>
      <c r="D248" s="2"/>
      <c r="E248" s="2"/>
      <c r="F248" s="2"/>
      <c r="G248" s="2"/>
      <c r="H248" s="2"/>
      <c r="I248" s="2"/>
      <c r="J248" s="2"/>
      <c r="K248" s="2"/>
    </row>
    <row r="249" customFormat="false" ht="15.75" hidden="false" customHeight="false" outlineLevel="0" collapsed="false">
      <c r="A249" s="2"/>
      <c r="B249" s="2"/>
      <c r="C249" s="2"/>
      <c r="D249" s="2"/>
      <c r="E249" s="2"/>
      <c r="F249" s="2"/>
      <c r="G249" s="2"/>
      <c r="H249" s="2"/>
      <c r="I249" s="2"/>
      <c r="J249" s="2"/>
      <c r="K249" s="2"/>
    </row>
    <row r="250" customFormat="false" ht="15.75" hidden="false" customHeight="false" outlineLevel="0" collapsed="false">
      <c r="A250" s="2"/>
      <c r="B250" s="2"/>
      <c r="C250" s="2"/>
      <c r="D250" s="2"/>
      <c r="E250" s="2"/>
      <c r="F250" s="2"/>
      <c r="G250" s="2"/>
      <c r="H250" s="2"/>
      <c r="I250" s="2"/>
      <c r="J250" s="2"/>
      <c r="K250" s="2"/>
    </row>
    <row r="251" customFormat="false" ht="15.75" hidden="false" customHeight="false" outlineLevel="0" collapsed="false">
      <c r="A251" s="2"/>
      <c r="B251" s="2"/>
      <c r="C251" s="2"/>
      <c r="D251" s="2"/>
      <c r="E251" s="2"/>
      <c r="F251" s="2"/>
      <c r="G251" s="2"/>
      <c r="H251" s="2"/>
      <c r="I251" s="2"/>
      <c r="J251" s="2"/>
      <c r="K251" s="2"/>
    </row>
    <row r="252" customFormat="false" ht="15.75" hidden="false" customHeight="false" outlineLevel="0" collapsed="false">
      <c r="A252" s="2"/>
      <c r="B252" s="2"/>
      <c r="C252" s="2"/>
      <c r="D252" s="2"/>
      <c r="E252" s="2"/>
      <c r="F252" s="2"/>
      <c r="G252" s="2"/>
      <c r="H252" s="2"/>
      <c r="I252" s="2"/>
      <c r="J252" s="2"/>
      <c r="K252" s="2"/>
    </row>
    <row r="253" customFormat="false" ht="15.75" hidden="false" customHeight="false" outlineLevel="0" collapsed="false">
      <c r="A253" s="2"/>
      <c r="B253" s="2"/>
      <c r="C253" s="2"/>
      <c r="D253" s="2"/>
      <c r="E253" s="2"/>
      <c r="F253" s="2"/>
      <c r="G253" s="2"/>
      <c r="H253" s="2"/>
      <c r="I253" s="2"/>
      <c r="J253" s="2"/>
      <c r="K253" s="2"/>
    </row>
    <row r="254" customFormat="false" ht="15.75" hidden="false" customHeight="false" outlineLevel="0" collapsed="false">
      <c r="A254" s="2"/>
      <c r="B254" s="2"/>
      <c r="C254" s="2"/>
      <c r="D254" s="2"/>
      <c r="E254" s="2"/>
      <c r="F254" s="2"/>
      <c r="G254" s="2"/>
      <c r="H254" s="2"/>
      <c r="I254" s="2"/>
      <c r="J254" s="2"/>
      <c r="K254" s="2"/>
    </row>
    <row r="255" customFormat="false" ht="15.75" hidden="false" customHeight="false" outlineLevel="0" collapsed="false">
      <c r="A255" s="2"/>
      <c r="B255" s="2"/>
      <c r="C255" s="2"/>
      <c r="D255" s="2"/>
      <c r="E255" s="2"/>
      <c r="F255" s="2"/>
      <c r="G255" s="2"/>
      <c r="H255" s="2"/>
      <c r="I255" s="2"/>
      <c r="J255" s="2"/>
      <c r="K255" s="2"/>
    </row>
    <row r="256" customFormat="false" ht="15.75" hidden="false" customHeight="false" outlineLevel="0" collapsed="false">
      <c r="A256" s="2"/>
      <c r="B256" s="2"/>
      <c r="C256" s="2"/>
      <c r="D256" s="2"/>
      <c r="E256" s="2"/>
      <c r="F256" s="2"/>
      <c r="G256" s="2"/>
      <c r="H256" s="2"/>
      <c r="I256" s="2"/>
      <c r="J256" s="2"/>
      <c r="K256" s="2"/>
    </row>
    <row r="257" customFormat="false" ht="15.75" hidden="false" customHeight="false" outlineLevel="0" collapsed="false">
      <c r="A257" s="2"/>
      <c r="B257" s="2"/>
      <c r="C257" s="2"/>
      <c r="D257" s="2"/>
      <c r="E257" s="2"/>
      <c r="F257" s="2"/>
      <c r="G257" s="2"/>
      <c r="H257" s="2"/>
      <c r="I257" s="2"/>
      <c r="J257" s="2"/>
      <c r="K257" s="2"/>
    </row>
    <row r="258" customFormat="false" ht="15.75" hidden="false" customHeight="false" outlineLevel="0" collapsed="false">
      <c r="A258" s="2"/>
      <c r="B258" s="2"/>
      <c r="C258" s="2"/>
      <c r="D258" s="2"/>
      <c r="E258" s="2"/>
      <c r="F258" s="2"/>
      <c r="G258" s="2"/>
      <c r="H258" s="2"/>
      <c r="I258" s="2"/>
      <c r="J258" s="2"/>
      <c r="K258" s="2"/>
    </row>
    <row r="259" customFormat="false" ht="15.75" hidden="false" customHeight="false" outlineLevel="0" collapsed="false">
      <c r="A259" s="2"/>
      <c r="B259" s="2"/>
      <c r="C259" s="2"/>
      <c r="D259" s="2"/>
      <c r="E259" s="2"/>
      <c r="F259" s="2"/>
      <c r="G259" s="2"/>
      <c r="H259" s="2"/>
      <c r="I259" s="2"/>
      <c r="J259" s="2"/>
      <c r="K259" s="2"/>
    </row>
    <row r="260" customFormat="false" ht="15.75" hidden="false" customHeight="false" outlineLevel="0" collapsed="false">
      <c r="A260" s="2"/>
      <c r="B260" s="2"/>
      <c r="C260" s="2"/>
      <c r="D260" s="2"/>
      <c r="E260" s="2"/>
      <c r="F260" s="2"/>
      <c r="G260" s="2"/>
      <c r="H260" s="2"/>
      <c r="I260" s="2"/>
      <c r="J260" s="2"/>
      <c r="K260" s="2"/>
    </row>
    <row r="261" customFormat="false" ht="15.75" hidden="false" customHeight="false" outlineLevel="0" collapsed="false">
      <c r="A261" s="2"/>
      <c r="B261" s="2"/>
      <c r="C261" s="2"/>
      <c r="D261" s="2"/>
      <c r="E261" s="2"/>
      <c r="F261" s="2"/>
      <c r="G261" s="2"/>
      <c r="H261" s="2"/>
      <c r="I261" s="2"/>
      <c r="J261" s="2"/>
      <c r="K261" s="2"/>
    </row>
    <row r="262" customFormat="false" ht="15.75" hidden="false" customHeight="false" outlineLevel="0" collapsed="false">
      <c r="A262" s="2"/>
      <c r="B262" s="2"/>
      <c r="C262" s="2"/>
      <c r="D262" s="2"/>
      <c r="E262" s="2"/>
      <c r="F262" s="2"/>
      <c r="G262" s="2"/>
      <c r="H262" s="2"/>
      <c r="I262" s="2"/>
      <c r="J262" s="2"/>
      <c r="K262" s="2"/>
    </row>
    <row r="263" customFormat="false" ht="15.75" hidden="false" customHeight="false" outlineLevel="0" collapsed="false">
      <c r="A263" s="2"/>
      <c r="B263" s="2"/>
      <c r="C263" s="2"/>
      <c r="D263" s="2"/>
      <c r="E263" s="2"/>
      <c r="F263" s="2"/>
      <c r="G263" s="2"/>
      <c r="H263" s="2"/>
      <c r="I263" s="2"/>
      <c r="J263" s="2"/>
      <c r="K263" s="2"/>
    </row>
    <row r="264" customFormat="false" ht="15.75" hidden="false" customHeight="false" outlineLevel="0" collapsed="false">
      <c r="A264" s="2"/>
      <c r="B264" s="2"/>
      <c r="C264" s="2"/>
      <c r="D264" s="2"/>
      <c r="E264" s="2"/>
      <c r="F264" s="2"/>
      <c r="G264" s="2"/>
      <c r="H264" s="2"/>
      <c r="I264" s="2"/>
      <c r="J264" s="2"/>
      <c r="K264" s="2"/>
    </row>
    <row r="265" customFormat="false" ht="15.75" hidden="false" customHeight="false" outlineLevel="0" collapsed="false">
      <c r="A265" s="2"/>
      <c r="B265" s="2"/>
      <c r="C265" s="2"/>
      <c r="D265" s="2"/>
      <c r="E265" s="2"/>
      <c r="F265" s="2"/>
      <c r="G265" s="2"/>
      <c r="H265" s="2"/>
      <c r="I265" s="2"/>
      <c r="J265" s="2"/>
      <c r="K265" s="2"/>
    </row>
    <row r="266" customFormat="false" ht="15.75" hidden="false" customHeight="false" outlineLevel="0" collapsed="false">
      <c r="A266" s="2"/>
      <c r="B266" s="2"/>
      <c r="C266" s="2"/>
      <c r="D266" s="2"/>
      <c r="E266" s="2"/>
      <c r="F266" s="2"/>
      <c r="G266" s="2"/>
      <c r="H266" s="2"/>
      <c r="I266" s="2"/>
      <c r="J266" s="2"/>
      <c r="K266" s="2"/>
    </row>
    <row r="267" customFormat="false" ht="15.75" hidden="false" customHeight="false" outlineLevel="0" collapsed="false">
      <c r="A267" s="2"/>
      <c r="B267" s="2"/>
      <c r="C267" s="2"/>
      <c r="D267" s="2"/>
      <c r="E267" s="2"/>
      <c r="F267" s="2"/>
      <c r="G267" s="2"/>
      <c r="H267" s="2"/>
      <c r="I267" s="2"/>
      <c r="J267" s="2"/>
      <c r="K267" s="2"/>
    </row>
    <row r="268" customFormat="false" ht="15.75" hidden="false" customHeight="false" outlineLevel="0" collapsed="false">
      <c r="A268" s="2"/>
      <c r="B268" s="2"/>
      <c r="C268" s="2"/>
      <c r="D268" s="2"/>
      <c r="E268" s="2"/>
      <c r="F268" s="2"/>
      <c r="G268" s="2"/>
      <c r="H268" s="2"/>
      <c r="I268" s="2"/>
      <c r="J268" s="2"/>
      <c r="K268" s="2"/>
    </row>
    <row r="269" customFormat="false" ht="15.75" hidden="false" customHeight="false" outlineLevel="0" collapsed="false">
      <c r="A269" s="2"/>
      <c r="B269" s="2"/>
      <c r="C269" s="2"/>
      <c r="D269" s="2"/>
      <c r="E269" s="2"/>
      <c r="F269" s="2"/>
      <c r="G269" s="2"/>
      <c r="H269" s="2"/>
      <c r="I269" s="2"/>
      <c r="J269" s="2"/>
      <c r="K269" s="2"/>
    </row>
    <row r="270" customFormat="false" ht="15.75" hidden="false" customHeight="false" outlineLevel="0" collapsed="false">
      <c r="A270" s="2"/>
      <c r="B270" s="2"/>
      <c r="C270" s="2"/>
      <c r="D270" s="2"/>
      <c r="E270" s="2"/>
      <c r="F270" s="2"/>
      <c r="G270" s="2"/>
      <c r="H270" s="2"/>
      <c r="I270" s="2"/>
      <c r="J270" s="2"/>
      <c r="K270" s="2"/>
    </row>
    <row r="271" customFormat="false" ht="15.75" hidden="false" customHeight="false" outlineLevel="0" collapsed="false">
      <c r="A271" s="2"/>
      <c r="B271" s="2"/>
      <c r="C271" s="2"/>
      <c r="D271" s="2"/>
      <c r="E271" s="2"/>
      <c r="F271" s="2"/>
      <c r="G271" s="2"/>
      <c r="H271" s="2"/>
      <c r="I271" s="2"/>
      <c r="J271" s="2"/>
      <c r="K271" s="2"/>
    </row>
    <row r="272" customFormat="false" ht="15.75" hidden="false" customHeight="false" outlineLevel="0" collapsed="false">
      <c r="A272" s="2"/>
      <c r="B272" s="2"/>
      <c r="C272" s="2"/>
      <c r="D272" s="2"/>
      <c r="E272" s="2"/>
      <c r="F272" s="2"/>
      <c r="G272" s="2"/>
      <c r="H272" s="2"/>
      <c r="I272" s="2"/>
      <c r="J272" s="2"/>
      <c r="K272" s="2"/>
    </row>
    <row r="273" customFormat="false" ht="15.75" hidden="false" customHeight="false" outlineLevel="0" collapsed="false">
      <c r="A273" s="2"/>
      <c r="B273" s="2"/>
      <c r="C273" s="2"/>
      <c r="D273" s="2"/>
      <c r="E273" s="2"/>
      <c r="F273" s="2"/>
      <c r="G273" s="2"/>
      <c r="H273" s="2"/>
      <c r="I273" s="2"/>
      <c r="J273" s="2"/>
      <c r="K273" s="2"/>
    </row>
    <row r="274" customFormat="false" ht="15.75" hidden="false" customHeight="false" outlineLevel="0" collapsed="false">
      <c r="A274" s="2"/>
      <c r="B274" s="2"/>
      <c r="C274" s="2"/>
      <c r="D274" s="2"/>
      <c r="E274" s="2"/>
      <c r="F274" s="2"/>
      <c r="G274" s="2"/>
      <c r="H274" s="2"/>
      <c r="I274" s="2"/>
      <c r="J274" s="2"/>
      <c r="K274" s="2"/>
    </row>
    <row r="275" customFormat="false" ht="15.75" hidden="false" customHeight="false" outlineLevel="0" collapsed="false">
      <c r="A275" s="2"/>
      <c r="B275" s="2"/>
      <c r="C275" s="2"/>
      <c r="D275" s="2"/>
      <c r="E275" s="2"/>
      <c r="F275" s="2"/>
      <c r="G275" s="2"/>
      <c r="H275" s="2"/>
      <c r="I275" s="2"/>
      <c r="J275" s="2"/>
      <c r="K275" s="2"/>
    </row>
    <row r="276" customFormat="false" ht="15.75" hidden="false" customHeight="false" outlineLevel="0" collapsed="false">
      <c r="A276" s="2"/>
      <c r="B276" s="2"/>
      <c r="C276" s="2"/>
      <c r="D276" s="2"/>
      <c r="E276" s="2"/>
      <c r="F276" s="2"/>
      <c r="G276" s="2"/>
      <c r="H276" s="2"/>
      <c r="I276" s="2"/>
      <c r="J276" s="2"/>
      <c r="K276" s="2"/>
    </row>
    <row r="277" customFormat="false" ht="15.75" hidden="false" customHeight="false" outlineLevel="0" collapsed="false">
      <c r="A277" s="2"/>
      <c r="B277" s="2"/>
      <c r="C277" s="2"/>
      <c r="D277" s="2"/>
      <c r="E277" s="2"/>
      <c r="F277" s="2"/>
      <c r="G277" s="2"/>
      <c r="H277" s="2"/>
      <c r="I277" s="2"/>
      <c r="J277" s="2"/>
      <c r="K277" s="2"/>
    </row>
    <row r="278" customFormat="false" ht="15.75" hidden="false" customHeight="false" outlineLevel="0" collapsed="false">
      <c r="A278" s="2"/>
      <c r="B278" s="2"/>
      <c r="C278" s="2"/>
      <c r="D278" s="2"/>
      <c r="E278" s="2"/>
      <c r="F278" s="2"/>
      <c r="G278" s="2"/>
      <c r="H278" s="2"/>
      <c r="I278" s="2"/>
      <c r="J278" s="2"/>
      <c r="K278" s="2"/>
    </row>
    <row r="279" customFormat="false" ht="15.75" hidden="false" customHeight="false" outlineLevel="0" collapsed="false">
      <c r="A279" s="2"/>
      <c r="B279" s="2"/>
      <c r="C279" s="2"/>
      <c r="D279" s="2"/>
      <c r="E279" s="2"/>
      <c r="F279" s="2"/>
      <c r="G279" s="2"/>
      <c r="H279" s="2"/>
      <c r="I279" s="2"/>
      <c r="J279" s="2"/>
      <c r="K279" s="2"/>
    </row>
    <row r="280" customFormat="false" ht="15.75" hidden="false" customHeight="false" outlineLevel="0" collapsed="false">
      <c r="A280" s="2"/>
      <c r="B280" s="2"/>
      <c r="C280" s="2"/>
      <c r="D280" s="2"/>
      <c r="E280" s="2"/>
      <c r="F280" s="2"/>
      <c r="G280" s="2"/>
      <c r="H280" s="2"/>
      <c r="I280" s="2"/>
      <c r="J280" s="2"/>
      <c r="K280" s="2"/>
    </row>
    <row r="281" customFormat="false" ht="15.75" hidden="false" customHeight="false" outlineLevel="0" collapsed="false">
      <c r="A281" s="2"/>
      <c r="B281" s="2"/>
      <c r="C281" s="2"/>
      <c r="D281" s="2"/>
      <c r="E281" s="2"/>
      <c r="F281" s="2"/>
      <c r="G281" s="2"/>
      <c r="H281" s="2"/>
      <c r="I281" s="2"/>
      <c r="J281" s="2"/>
      <c r="K281" s="2"/>
    </row>
    <row r="282" customFormat="false" ht="15.75" hidden="false" customHeight="false" outlineLevel="0" collapsed="false">
      <c r="A282" s="2"/>
      <c r="B282" s="2"/>
      <c r="C282" s="2"/>
      <c r="D282" s="2"/>
      <c r="E282" s="2"/>
      <c r="F282" s="2"/>
      <c r="G282" s="2"/>
      <c r="H282" s="2"/>
      <c r="I282" s="2"/>
      <c r="J282" s="2"/>
      <c r="K282" s="2"/>
    </row>
    <row r="283" customFormat="false" ht="15.75" hidden="false" customHeight="false" outlineLevel="0" collapsed="false">
      <c r="A283" s="2"/>
      <c r="B283" s="2"/>
      <c r="C283" s="2"/>
      <c r="D283" s="2"/>
      <c r="E283" s="2"/>
      <c r="F283" s="2"/>
      <c r="G283" s="2"/>
      <c r="H283" s="2"/>
      <c r="I283" s="2"/>
      <c r="J283" s="2"/>
      <c r="K283" s="2"/>
    </row>
    <row r="284" customFormat="false" ht="15.75" hidden="false" customHeight="false" outlineLevel="0" collapsed="false">
      <c r="A284" s="2"/>
      <c r="B284" s="2"/>
      <c r="C284" s="2"/>
      <c r="D284" s="2"/>
      <c r="E284" s="2"/>
      <c r="F284" s="2"/>
      <c r="G284" s="2"/>
      <c r="H284" s="2"/>
      <c r="I284" s="2"/>
      <c r="J284" s="2"/>
      <c r="K284" s="2"/>
    </row>
    <row r="285" customFormat="false" ht="15.75" hidden="false" customHeight="false" outlineLevel="0" collapsed="false">
      <c r="A285" s="2"/>
      <c r="B285" s="2"/>
      <c r="C285" s="2"/>
      <c r="D285" s="2"/>
      <c r="E285" s="2"/>
      <c r="F285" s="2"/>
      <c r="G285" s="2"/>
      <c r="H285" s="2"/>
      <c r="I285" s="2"/>
      <c r="J285" s="2"/>
      <c r="K285" s="2"/>
    </row>
    <row r="286" customFormat="false" ht="15.75" hidden="false" customHeight="false" outlineLevel="0" collapsed="false">
      <c r="A286" s="2"/>
      <c r="B286" s="2"/>
      <c r="C286" s="2"/>
      <c r="D286" s="2"/>
      <c r="E286" s="2"/>
      <c r="F286" s="2"/>
      <c r="G286" s="2"/>
      <c r="H286" s="2"/>
      <c r="I286" s="2"/>
      <c r="J286" s="2"/>
      <c r="K286" s="2"/>
    </row>
    <row r="287" customFormat="false" ht="15.75" hidden="false" customHeight="false" outlineLevel="0" collapsed="false">
      <c r="A287" s="2"/>
      <c r="B287" s="2"/>
      <c r="C287" s="2"/>
      <c r="D287" s="2"/>
      <c r="E287" s="2"/>
      <c r="F287" s="2"/>
      <c r="G287" s="2"/>
      <c r="H287" s="2"/>
      <c r="I287" s="2"/>
      <c r="J287" s="2"/>
      <c r="K287" s="2"/>
    </row>
    <row r="288" customFormat="false" ht="15.75" hidden="false" customHeight="false" outlineLevel="0" collapsed="false">
      <c r="A288" s="2"/>
      <c r="B288" s="2"/>
      <c r="C288" s="2"/>
      <c r="D288" s="2"/>
      <c r="E288" s="2"/>
      <c r="F288" s="2"/>
      <c r="G288" s="2"/>
      <c r="H288" s="2"/>
      <c r="I288" s="2"/>
      <c r="J288" s="2"/>
      <c r="K288" s="2"/>
    </row>
    <row r="289" customFormat="false" ht="15.75" hidden="false" customHeight="false" outlineLevel="0" collapsed="false">
      <c r="A289" s="2"/>
      <c r="B289" s="2"/>
      <c r="C289" s="2"/>
      <c r="D289" s="2"/>
      <c r="E289" s="2"/>
      <c r="F289" s="2"/>
      <c r="G289" s="2"/>
      <c r="H289" s="2"/>
      <c r="I289" s="2"/>
      <c r="J289" s="2"/>
      <c r="K289" s="2"/>
    </row>
    <row r="290" customFormat="false" ht="15.75" hidden="false" customHeight="false" outlineLevel="0" collapsed="false">
      <c r="A290" s="2"/>
      <c r="B290" s="2"/>
      <c r="C290" s="2"/>
      <c r="D290" s="2"/>
      <c r="E290" s="2"/>
      <c r="F290" s="2"/>
      <c r="G290" s="2"/>
      <c r="H290" s="2"/>
      <c r="I290" s="2"/>
      <c r="J290" s="2"/>
      <c r="K290" s="2"/>
    </row>
    <row r="291" customFormat="false" ht="15.75" hidden="false" customHeight="false" outlineLevel="0" collapsed="false">
      <c r="A291" s="2"/>
      <c r="B291" s="2"/>
      <c r="C291" s="2"/>
      <c r="D291" s="2"/>
      <c r="E291" s="2"/>
      <c r="F291" s="2"/>
      <c r="G291" s="2"/>
      <c r="H291" s="2"/>
      <c r="I291" s="2"/>
      <c r="J291" s="2"/>
      <c r="K291" s="2"/>
    </row>
    <row r="292" customFormat="false" ht="15.75" hidden="false" customHeight="false" outlineLevel="0" collapsed="false">
      <c r="A292" s="2"/>
      <c r="B292" s="2"/>
      <c r="C292" s="2"/>
      <c r="D292" s="2"/>
      <c r="E292" s="2"/>
      <c r="F292" s="2"/>
      <c r="G292" s="2"/>
      <c r="H292" s="2"/>
      <c r="I292" s="2"/>
      <c r="J292" s="2"/>
      <c r="K292" s="2"/>
    </row>
    <row r="293" customFormat="false" ht="15.75" hidden="false" customHeight="false" outlineLevel="0" collapsed="false">
      <c r="A293" s="2"/>
      <c r="B293" s="2"/>
      <c r="C293" s="2"/>
      <c r="D293" s="2"/>
      <c r="E293" s="2"/>
      <c r="F293" s="2"/>
      <c r="G293" s="2"/>
      <c r="H293" s="2"/>
      <c r="I293" s="2"/>
      <c r="J293" s="2"/>
      <c r="K293" s="2"/>
    </row>
    <row r="294" customFormat="false" ht="15.75" hidden="false" customHeight="false" outlineLevel="0" collapsed="false">
      <c r="A294" s="2"/>
      <c r="B294" s="2"/>
      <c r="C294" s="2"/>
      <c r="D294" s="2"/>
      <c r="E294" s="2"/>
      <c r="F294" s="2"/>
      <c r="G294" s="2"/>
      <c r="H294" s="2"/>
      <c r="I294" s="2"/>
      <c r="J294" s="2"/>
      <c r="K294" s="2"/>
    </row>
    <row r="295" customFormat="false" ht="15.75" hidden="false" customHeight="false" outlineLevel="0" collapsed="false">
      <c r="A295" s="2"/>
      <c r="B295" s="2"/>
      <c r="C295" s="2"/>
      <c r="D295" s="2"/>
      <c r="E295" s="2"/>
      <c r="F295" s="2"/>
      <c r="G295" s="2"/>
      <c r="H295" s="2"/>
      <c r="I295" s="2"/>
      <c r="J295" s="2"/>
      <c r="K295" s="2"/>
    </row>
    <row r="296" customFormat="false" ht="15.75" hidden="false" customHeight="false" outlineLevel="0" collapsed="false">
      <c r="A296" s="2"/>
      <c r="B296" s="2"/>
      <c r="C296" s="2"/>
      <c r="D296" s="2"/>
      <c r="E296" s="2"/>
      <c r="F296" s="2"/>
      <c r="G296" s="2"/>
      <c r="H296" s="2"/>
      <c r="I296" s="2"/>
      <c r="J296" s="2"/>
      <c r="K296" s="2"/>
    </row>
    <row r="297" customFormat="false" ht="15.75" hidden="false" customHeight="false" outlineLevel="0" collapsed="false">
      <c r="A297" s="2"/>
      <c r="B297" s="2"/>
      <c r="C297" s="2"/>
      <c r="D297" s="2"/>
      <c r="E297" s="2"/>
      <c r="F297" s="2"/>
      <c r="G297" s="2"/>
      <c r="H297" s="2"/>
      <c r="I297" s="2"/>
      <c r="J297" s="2"/>
      <c r="K297" s="2"/>
    </row>
    <row r="298" customFormat="false" ht="15.75" hidden="false" customHeight="false" outlineLevel="0" collapsed="false">
      <c r="A298" s="2"/>
      <c r="B298" s="2"/>
      <c r="C298" s="2"/>
      <c r="D298" s="2"/>
      <c r="E298" s="2"/>
      <c r="F298" s="2"/>
      <c r="G298" s="2"/>
      <c r="H298" s="2"/>
      <c r="I298" s="2"/>
      <c r="J298" s="2"/>
      <c r="K298" s="2"/>
    </row>
    <row r="299" customFormat="false" ht="15.75" hidden="false" customHeight="false" outlineLevel="0" collapsed="false">
      <c r="A299" s="2"/>
      <c r="B299" s="2"/>
      <c r="C299" s="2"/>
      <c r="D299" s="2"/>
      <c r="E299" s="2"/>
      <c r="F299" s="2"/>
      <c r="G299" s="2"/>
      <c r="H299" s="2"/>
      <c r="I299" s="2"/>
      <c r="J299" s="2"/>
      <c r="K299" s="2"/>
    </row>
    <row r="300" customFormat="false" ht="15.75" hidden="false" customHeight="false" outlineLevel="0" collapsed="false">
      <c r="A300" s="2"/>
      <c r="B300" s="2"/>
      <c r="C300" s="2"/>
      <c r="D300" s="2"/>
      <c r="E300" s="2"/>
      <c r="F300" s="2"/>
      <c r="G300" s="2"/>
      <c r="H300" s="2"/>
      <c r="I300" s="2"/>
      <c r="J300" s="2"/>
      <c r="K300" s="2"/>
    </row>
    <row r="301" customFormat="false" ht="15.75" hidden="false" customHeight="false" outlineLevel="0" collapsed="false">
      <c r="A301" s="2"/>
      <c r="B301" s="2"/>
      <c r="C301" s="2"/>
      <c r="D301" s="2"/>
      <c r="E301" s="2"/>
      <c r="F301" s="2"/>
      <c r="G301" s="2"/>
      <c r="H301" s="2"/>
      <c r="I301" s="2"/>
      <c r="J301" s="2"/>
      <c r="K301" s="2"/>
    </row>
    <row r="302" customFormat="false" ht="15.75" hidden="false" customHeight="false" outlineLevel="0" collapsed="false">
      <c r="A302" s="2"/>
      <c r="B302" s="2"/>
      <c r="C302" s="2"/>
      <c r="D302" s="2"/>
      <c r="E302" s="2"/>
      <c r="F302" s="2"/>
      <c r="G302" s="2"/>
      <c r="H302" s="2"/>
      <c r="I302" s="2"/>
      <c r="J302" s="2"/>
      <c r="K302" s="2"/>
    </row>
    <row r="303" customFormat="false" ht="15.75" hidden="false" customHeight="false" outlineLevel="0" collapsed="false">
      <c r="A303" s="2"/>
      <c r="B303" s="2"/>
      <c r="C303" s="2"/>
      <c r="D303" s="2"/>
      <c r="E303" s="2"/>
      <c r="F303" s="2"/>
      <c r="G303" s="2"/>
      <c r="H303" s="2"/>
      <c r="I303" s="2"/>
      <c r="J303" s="2"/>
      <c r="K303" s="2"/>
    </row>
    <row r="304" customFormat="false" ht="15.75" hidden="false" customHeight="false" outlineLevel="0" collapsed="false">
      <c r="A304" s="2"/>
      <c r="B304" s="2"/>
      <c r="C304" s="2"/>
      <c r="D304" s="2"/>
      <c r="E304" s="2"/>
      <c r="F304" s="2"/>
      <c r="G304" s="2"/>
      <c r="H304" s="2"/>
      <c r="I304" s="2"/>
      <c r="J304" s="2"/>
      <c r="K304" s="2"/>
    </row>
    <row r="305" customFormat="false" ht="15.75" hidden="false" customHeight="false" outlineLevel="0" collapsed="false">
      <c r="A305" s="2"/>
      <c r="B305" s="2"/>
      <c r="C305" s="2"/>
      <c r="D305" s="2"/>
      <c r="E305" s="2"/>
      <c r="F305" s="2"/>
      <c r="G305" s="2"/>
      <c r="H305" s="2"/>
      <c r="I305" s="2"/>
      <c r="J305" s="2"/>
      <c r="K305" s="2"/>
    </row>
    <row r="306" customFormat="false" ht="15.75" hidden="false" customHeight="false" outlineLevel="0" collapsed="false">
      <c r="A306" s="2"/>
      <c r="B306" s="2"/>
      <c r="C306" s="2"/>
      <c r="D306" s="2"/>
      <c r="E306" s="2"/>
      <c r="F306" s="2"/>
      <c r="G306" s="2"/>
      <c r="H306" s="2"/>
      <c r="I306" s="2"/>
      <c r="J306" s="2"/>
      <c r="K306" s="2"/>
    </row>
    <row r="307" customFormat="false" ht="15.75" hidden="false" customHeight="false" outlineLevel="0" collapsed="false">
      <c r="A307" s="2"/>
      <c r="B307" s="2"/>
      <c r="C307" s="2"/>
      <c r="D307" s="2"/>
      <c r="E307" s="2"/>
      <c r="F307" s="2"/>
      <c r="G307" s="2"/>
      <c r="H307" s="2"/>
      <c r="I307" s="2"/>
      <c r="J307" s="2"/>
      <c r="K307" s="2"/>
    </row>
    <row r="308" customFormat="false" ht="15.75" hidden="false" customHeight="false" outlineLevel="0" collapsed="false">
      <c r="A308" s="2"/>
      <c r="B308" s="2"/>
      <c r="C308" s="2"/>
      <c r="D308" s="2"/>
      <c r="E308" s="2"/>
      <c r="F308" s="2"/>
      <c r="G308" s="2"/>
      <c r="H308" s="2"/>
      <c r="I308" s="2"/>
      <c r="J308" s="2"/>
      <c r="K308" s="2"/>
    </row>
    <row r="309" customFormat="false" ht="15.75" hidden="false" customHeight="false" outlineLevel="0" collapsed="false">
      <c r="A309" s="2"/>
      <c r="B309" s="2"/>
      <c r="C309" s="2"/>
      <c r="D309" s="2"/>
      <c r="E309" s="2"/>
      <c r="F309" s="2"/>
      <c r="G309" s="2"/>
      <c r="H309" s="2"/>
      <c r="I309" s="2"/>
      <c r="J309" s="2"/>
      <c r="K309" s="2"/>
    </row>
    <row r="310" customFormat="false" ht="15.75" hidden="false" customHeight="false" outlineLevel="0" collapsed="false">
      <c r="A310" s="2"/>
      <c r="B310" s="2"/>
      <c r="C310" s="2"/>
      <c r="D310" s="2"/>
      <c r="E310" s="2"/>
      <c r="F310" s="2"/>
      <c r="G310" s="2"/>
      <c r="H310" s="2"/>
      <c r="I310" s="2"/>
      <c r="J310" s="2"/>
      <c r="K310" s="2"/>
    </row>
    <row r="311" customFormat="false" ht="15.75" hidden="false" customHeight="false" outlineLevel="0" collapsed="false">
      <c r="A311" s="2"/>
      <c r="B311" s="2"/>
      <c r="C311" s="2"/>
      <c r="D311" s="2"/>
      <c r="E311" s="2"/>
      <c r="F311" s="2"/>
      <c r="G311" s="2"/>
      <c r="H311" s="2"/>
      <c r="I311" s="2"/>
      <c r="J311" s="2"/>
      <c r="K311" s="2"/>
    </row>
    <row r="312" customFormat="false" ht="15.75" hidden="false" customHeight="false" outlineLevel="0" collapsed="false">
      <c r="A312" s="2"/>
      <c r="B312" s="2"/>
      <c r="C312" s="2"/>
      <c r="D312" s="2"/>
      <c r="E312" s="2"/>
      <c r="F312" s="2"/>
      <c r="G312" s="2"/>
      <c r="H312" s="2"/>
      <c r="I312" s="2"/>
      <c r="J312" s="2"/>
      <c r="K312" s="2"/>
    </row>
    <row r="313" customFormat="false" ht="15.75" hidden="false" customHeight="false" outlineLevel="0" collapsed="false">
      <c r="A313" s="2"/>
      <c r="B313" s="2"/>
      <c r="C313" s="2"/>
      <c r="D313" s="2"/>
      <c r="E313" s="2"/>
      <c r="F313" s="2"/>
      <c r="G313" s="2"/>
      <c r="H313" s="2"/>
      <c r="I313" s="2"/>
      <c r="J313" s="2"/>
      <c r="K313" s="2"/>
    </row>
    <row r="314" customFormat="false" ht="15.75" hidden="false" customHeight="false" outlineLevel="0" collapsed="false">
      <c r="A314" s="2"/>
      <c r="B314" s="2"/>
      <c r="C314" s="2"/>
      <c r="D314" s="2"/>
      <c r="E314" s="2"/>
      <c r="F314" s="2"/>
      <c r="G314" s="2"/>
      <c r="H314" s="2"/>
      <c r="I314" s="2"/>
      <c r="J314" s="2"/>
      <c r="K314" s="2"/>
    </row>
    <row r="315" customFormat="false" ht="15.75" hidden="false" customHeight="false" outlineLevel="0" collapsed="false">
      <c r="A315" s="2"/>
      <c r="B315" s="2"/>
      <c r="C315" s="2"/>
      <c r="D315" s="2"/>
      <c r="E315" s="2"/>
      <c r="F315" s="2"/>
      <c r="G315" s="2"/>
      <c r="H315" s="2"/>
      <c r="I315" s="2"/>
      <c r="J315" s="2"/>
      <c r="K315" s="2"/>
    </row>
    <row r="316" customFormat="false" ht="15.75" hidden="false" customHeight="false" outlineLevel="0" collapsed="false">
      <c r="A316" s="2"/>
      <c r="B316" s="2"/>
      <c r="C316" s="2"/>
      <c r="D316" s="2"/>
      <c r="E316" s="2"/>
      <c r="F316" s="2"/>
      <c r="G316" s="2"/>
      <c r="H316" s="2"/>
      <c r="I316" s="2"/>
      <c r="J316" s="2"/>
      <c r="K316" s="2"/>
    </row>
    <row r="317" customFormat="false" ht="15.75" hidden="false" customHeight="false" outlineLevel="0" collapsed="false">
      <c r="A317" s="2"/>
      <c r="B317" s="2"/>
      <c r="C317" s="2"/>
      <c r="D317" s="2"/>
      <c r="E317" s="2"/>
      <c r="F317" s="2"/>
      <c r="G317" s="2"/>
      <c r="H317" s="2"/>
      <c r="I317" s="2"/>
      <c r="J317" s="2"/>
      <c r="K317" s="2"/>
    </row>
    <row r="318" customFormat="false" ht="15.75" hidden="false" customHeight="false" outlineLevel="0" collapsed="false">
      <c r="A318" s="2"/>
      <c r="B318" s="2"/>
      <c r="C318" s="2"/>
      <c r="D318" s="2"/>
      <c r="E318" s="2"/>
      <c r="F318" s="2"/>
      <c r="G318" s="2"/>
      <c r="H318" s="2"/>
      <c r="I318" s="2"/>
      <c r="J318" s="2"/>
      <c r="K318" s="2"/>
    </row>
    <row r="319" customFormat="false" ht="15.75" hidden="false" customHeight="false" outlineLevel="0" collapsed="false">
      <c r="A319" s="2"/>
      <c r="B319" s="2"/>
      <c r="C319" s="2"/>
      <c r="D319" s="2"/>
      <c r="E319" s="2"/>
      <c r="F319" s="2"/>
      <c r="G319" s="2"/>
      <c r="H319" s="2"/>
      <c r="I319" s="2"/>
      <c r="J319" s="2"/>
      <c r="K319" s="2"/>
    </row>
    <row r="320" customFormat="false" ht="15.75" hidden="false" customHeight="false" outlineLevel="0" collapsed="false">
      <c r="A320" s="2"/>
      <c r="B320" s="2"/>
      <c r="C320" s="2"/>
      <c r="D320" s="2"/>
      <c r="E320" s="2"/>
      <c r="F320" s="2"/>
      <c r="G320" s="2"/>
      <c r="H320" s="2"/>
      <c r="I320" s="2"/>
      <c r="J320" s="2"/>
      <c r="K320" s="2"/>
    </row>
    <row r="321" customFormat="false" ht="15.75" hidden="false" customHeight="false" outlineLevel="0" collapsed="false">
      <c r="A321" s="2"/>
      <c r="B321" s="2"/>
      <c r="C321" s="2"/>
      <c r="D321" s="2"/>
      <c r="E321" s="2"/>
      <c r="F321" s="2"/>
      <c r="G321" s="2"/>
      <c r="H321" s="2"/>
      <c r="I321" s="2"/>
      <c r="J321" s="2"/>
      <c r="K321" s="2"/>
    </row>
    <row r="322" customFormat="false" ht="15.75" hidden="false" customHeight="false" outlineLevel="0" collapsed="false">
      <c r="A322" s="2"/>
      <c r="B322" s="2"/>
      <c r="C322" s="2"/>
      <c r="D322" s="2"/>
      <c r="E322" s="2"/>
      <c r="F322" s="2"/>
      <c r="G322" s="2"/>
      <c r="H322" s="2"/>
      <c r="I322" s="2"/>
      <c r="J322" s="2"/>
      <c r="K322" s="2"/>
    </row>
    <row r="323" customFormat="false" ht="15.75" hidden="false" customHeight="false" outlineLevel="0" collapsed="false">
      <c r="A323" s="2"/>
      <c r="B323" s="2"/>
      <c r="C323" s="2"/>
      <c r="D323" s="2"/>
      <c r="E323" s="2"/>
      <c r="F323" s="2"/>
      <c r="G323" s="2"/>
      <c r="H323" s="2"/>
      <c r="I323" s="2"/>
      <c r="J323" s="2"/>
      <c r="K323" s="2"/>
    </row>
    <row r="324" customFormat="false" ht="15.75" hidden="false" customHeight="false" outlineLevel="0" collapsed="false">
      <c r="A324" s="2"/>
      <c r="B324" s="2"/>
      <c r="C324" s="2"/>
      <c r="D324" s="2"/>
      <c r="E324" s="2"/>
      <c r="F324" s="2"/>
      <c r="G324" s="2"/>
      <c r="H324" s="2"/>
      <c r="I324" s="2"/>
      <c r="J324" s="2"/>
      <c r="K324" s="2"/>
    </row>
    <row r="325" customFormat="false" ht="15.75" hidden="false" customHeight="false" outlineLevel="0" collapsed="false">
      <c r="A325" s="2"/>
      <c r="B325" s="2"/>
      <c r="C325" s="2"/>
      <c r="D325" s="2"/>
      <c r="E325" s="2"/>
      <c r="F325" s="2"/>
      <c r="G325" s="2"/>
      <c r="H325" s="2"/>
      <c r="I325" s="2"/>
      <c r="J325" s="2"/>
      <c r="K325" s="2"/>
    </row>
    <row r="326" customFormat="false" ht="15.75" hidden="false" customHeight="false" outlineLevel="0" collapsed="false">
      <c r="A326" s="2"/>
      <c r="B326" s="2"/>
      <c r="C326" s="2"/>
      <c r="D326" s="2"/>
      <c r="E326" s="2"/>
      <c r="F326" s="2"/>
      <c r="G326" s="2"/>
      <c r="H326" s="2"/>
      <c r="I326" s="2"/>
      <c r="J326" s="2"/>
      <c r="K326" s="2"/>
    </row>
    <row r="327" customFormat="false" ht="15.75" hidden="false" customHeight="false" outlineLevel="0" collapsed="false">
      <c r="A327" s="2"/>
      <c r="B327" s="2"/>
      <c r="C327" s="2"/>
      <c r="D327" s="2"/>
      <c r="E327" s="2"/>
      <c r="F327" s="2"/>
      <c r="G327" s="2"/>
      <c r="H327" s="2"/>
      <c r="I327" s="2"/>
      <c r="J327" s="2"/>
      <c r="K327" s="2"/>
    </row>
    <row r="328" customFormat="false" ht="15.75" hidden="false" customHeight="false" outlineLevel="0" collapsed="false">
      <c r="A328" s="2"/>
      <c r="B328" s="2"/>
      <c r="C328" s="2"/>
      <c r="D328" s="2"/>
      <c r="E328" s="2"/>
      <c r="F328" s="2"/>
      <c r="G328" s="2"/>
      <c r="H328" s="2"/>
      <c r="I328" s="2"/>
      <c r="J328" s="2"/>
      <c r="K328" s="2"/>
    </row>
    <row r="329" customFormat="false" ht="15.75" hidden="false" customHeight="false" outlineLevel="0" collapsed="false">
      <c r="A329" s="2"/>
      <c r="B329" s="2"/>
      <c r="C329" s="2"/>
      <c r="D329" s="2"/>
      <c r="E329" s="2"/>
      <c r="F329" s="2"/>
      <c r="G329" s="2"/>
      <c r="H329" s="2"/>
      <c r="I329" s="2"/>
      <c r="J329" s="2"/>
      <c r="K329" s="2"/>
    </row>
    <row r="330" customFormat="false" ht="15.75" hidden="false" customHeight="false" outlineLevel="0" collapsed="false">
      <c r="A330" s="2"/>
      <c r="B330" s="2"/>
      <c r="C330" s="2"/>
      <c r="D330" s="2"/>
      <c r="E330" s="2"/>
      <c r="F330" s="2"/>
      <c r="G330" s="2"/>
      <c r="H330" s="2"/>
      <c r="I330" s="2"/>
      <c r="J330" s="2"/>
      <c r="K330" s="2"/>
    </row>
    <row r="331" customFormat="false" ht="15.75" hidden="false" customHeight="false" outlineLevel="0" collapsed="false">
      <c r="A331" s="2"/>
      <c r="B331" s="2"/>
      <c r="C331" s="2"/>
      <c r="D331" s="2"/>
      <c r="E331" s="2"/>
      <c r="F331" s="2"/>
      <c r="G331" s="2"/>
      <c r="H331" s="2"/>
      <c r="I331" s="2"/>
      <c r="J331" s="2"/>
      <c r="K331" s="2"/>
    </row>
    <row r="332" customFormat="false" ht="15.75" hidden="false" customHeight="false" outlineLevel="0" collapsed="false">
      <c r="A332" s="2"/>
      <c r="B332" s="2"/>
      <c r="C332" s="2"/>
      <c r="D332" s="2"/>
      <c r="E332" s="2"/>
      <c r="F332" s="2"/>
      <c r="G332" s="2"/>
      <c r="H332" s="2"/>
      <c r="I332" s="2"/>
      <c r="J332" s="2"/>
      <c r="K332" s="2"/>
    </row>
    <row r="333" customFormat="false" ht="15.75" hidden="false" customHeight="false" outlineLevel="0" collapsed="false">
      <c r="A333" s="2"/>
      <c r="B333" s="2"/>
      <c r="C333" s="2"/>
      <c r="D333" s="2"/>
      <c r="E333" s="2"/>
      <c r="F333" s="2"/>
      <c r="G333" s="2"/>
      <c r="H333" s="2"/>
      <c r="I333" s="2"/>
      <c r="J333" s="2"/>
      <c r="K333" s="2"/>
    </row>
    <row r="334" customFormat="false" ht="15.75" hidden="false" customHeight="false" outlineLevel="0" collapsed="false">
      <c r="A334" s="2"/>
      <c r="B334" s="2"/>
      <c r="C334" s="2"/>
      <c r="D334" s="2"/>
      <c r="E334" s="2"/>
      <c r="F334" s="2"/>
      <c r="G334" s="2"/>
      <c r="H334" s="2"/>
      <c r="I334" s="2"/>
      <c r="J334" s="2"/>
      <c r="K334" s="2"/>
    </row>
    <row r="335" customFormat="false" ht="15.75" hidden="false" customHeight="false" outlineLevel="0" collapsed="false">
      <c r="A335" s="2"/>
      <c r="B335" s="2"/>
      <c r="C335" s="2"/>
      <c r="D335" s="2"/>
      <c r="E335" s="2"/>
      <c r="F335" s="2"/>
      <c r="G335" s="2"/>
      <c r="H335" s="2"/>
      <c r="I335" s="2"/>
      <c r="J335" s="2"/>
      <c r="K335" s="2"/>
    </row>
    <row r="336" customFormat="false" ht="15.75" hidden="false" customHeight="false" outlineLevel="0" collapsed="false">
      <c r="A336" s="2"/>
      <c r="B336" s="2"/>
      <c r="C336" s="2"/>
      <c r="D336" s="2"/>
      <c r="E336" s="2"/>
      <c r="F336" s="2"/>
      <c r="G336" s="2"/>
      <c r="H336" s="2"/>
      <c r="I336" s="2"/>
      <c r="J336" s="2"/>
      <c r="K336" s="2"/>
    </row>
    <row r="337" customFormat="false" ht="15.75" hidden="false" customHeight="false" outlineLevel="0" collapsed="false">
      <c r="A337" s="2"/>
      <c r="B337" s="2"/>
      <c r="C337" s="2"/>
      <c r="D337" s="2"/>
      <c r="E337" s="2"/>
      <c r="F337" s="2"/>
      <c r="G337" s="2"/>
      <c r="H337" s="2"/>
      <c r="I337" s="2"/>
      <c r="J337" s="2"/>
      <c r="K337" s="2"/>
    </row>
    <row r="338" customFormat="false" ht="15.75" hidden="false" customHeight="false" outlineLevel="0" collapsed="false">
      <c r="A338" s="2"/>
      <c r="B338" s="2"/>
      <c r="C338" s="2"/>
      <c r="D338" s="2"/>
      <c r="E338" s="2"/>
      <c r="F338" s="2"/>
      <c r="G338" s="2"/>
      <c r="H338" s="2"/>
      <c r="I338" s="2"/>
      <c r="J338" s="2"/>
      <c r="K338" s="2"/>
    </row>
    <row r="339" customFormat="false" ht="15.75" hidden="false" customHeight="false" outlineLevel="0" collapsed="false">
      <c r="A339" s="2"/>
      <c r="B339" s="2"/>
      <c r="C339" s="2"/>
      <c r="D339" s="2"/>
      <c r="E339" s="2"/>
      <c r="F339" s="2"/>
      <c r="G339" s="2"/>
      <c r="H339" s="2"/>
      <c r="I339" s="2"/>
      <c r="J339" s="2"/>
      <c r="K339" s="2"/>
    </row>
    <row r="340" customFormat="false" ht="15.75" hidden="false" customHeight="false" outlineLevel="0" collapsed="false">
      <c r="A340" s="2"/>
      <c r="B340" s="2"/>
      <c r="C340" s="2"/>
      <c r="D340" s="2"/>
      <c r="E340" s="2"/>
      <c r="F340" s="2"/>
      <c r="G340" s="2"/>
      <c r="H340" s="2"/>
      <c r="I340" s="2"/>
      <c r="J340" s="2"/>
      <c r="K340" s="2"/>
    </row>
    <row r="341" customFormat="false" ht="15.75" hidden="false" customHeight="false" outlineLevel="0" collapsed="false">
      <c r="A341" s="2"/>
      <c r="B341" s="2"/>
      <c r="C341" s="2"/>
      <c r="D341" s="2"/>
      <c r="E341" s="2"/>
      <c r="F341" s="2"/>
      <c r="G341" s="2"/>
      <c r="H341" s="2"/>
      <c r="I341" s="2"/>
      <c r="J341" s="2"/>
      <c r="K341" s="2"/>
    </row>
    <row r="342" customFormat="false" ht="15.75" hidden="false" customHeight="false" outlineLevel="0" collapsed="false">
      <c r="A342" s="2"/>
      <c r="B342" s="2"/>
      <c r="C342" s="2"/>
      <c r="D342" s="2"/>
      <c r="E342" s="2"/>
      <c r="F342" s="2"/>
      <c r="G342" s="2"/>
      <c r="H342" s="2"/>
      <c r="I342" s="2"/>
      <c r="J342" s="2"/>
      <c r="K342" s="2"/>
    </row>
    <row r="343" customFormat="false" ht="15.75" hidden="false" customHeight="false" outlineLevel="0" collapsed="false">
      <c r="A343" s="2"/>
      <c r="B343" s="2"/>
      <c r="C343" s="2"/>
      <c r="D343" s="2"/>
      <c r="E343" s="2"/>
      <c r="F343" s="2"/>
      <c r="G343" s="2"/>
      <c r="H343" s="2"/>
      <c r="I343" s="2"/>
      <c r="J343" s="2"/>
      <c r="K343" s="2"/>
    </row>
    <row r="344" customFormat="false" ht="15.75" hidden="false" customHeight="false" outlineLevel="0" collapsed="false">
      <c r="A344" s="2"/>
      <c r="B344" s="2"/>
      <c r="C344" s="2"/>
      <c r="D344" s="2"/>
      <c r="E344" s="2"/>
      <c r="F344" s="2"/>
      <c r="G344" s="2"/>
      <c r="H344" s="2"/>
      <c r="I344" s="2"/>
      <c r="J344" s="2"/>
      <c r="K344" s="2"/>
    </row>
    <row r="345" customFormat="false" ht="15.75" hidden="false" customHeight="false" outlineLevel="0" collapsed="false">
      <c r="A345" s="2"/>
      <c r="B345" s="2"/>
      <c r="C345" s="2"/>
      <c r="D345" s="2"/>
      <c r="E345" s="2"/>
      <c r="F345" s="2"/>
      <c r="G345" s="2"/>
      <c r="H345" s="2"/>
      <c r="I345" s="2"/>
      <c r="J345" s="2"/>
      <c r="K345" s="2"/>
    </row>
    <row r="346" customFormat="false" ht="15.75" hidden="false" customHeight="false" outlineLevel="0" collapsed="false">
      <c r="A346" s="2"/>
      <c r="B346" s="2"/>
      <c r="C346" s="2"/>
      <c r="D346" s="2"/>
      <c r="E346" s="2"/>
      <c r="F346" s="2"/>
      <c r="G346" s="2"/>
      <c r="H346" s="2"/>
      <c r="I346" s="2"/>
      <c r="J346" s="2"/>
      <c r="K346" s="2"/>
    </row>
    <row r="347" customFormat="false" ht="15.75" hidden="false" customHeight="false" outlineLevel="0" collapsed="false">
      <c r="A347" s="2"/>
      <c r="B347" s="2"/>
      <c r="C347" s="2"/>
      <c r="D347" s="2"/>
      <c r="E347" s="2"/>
      <c r="F347" s="2"/>
      <c r="G347" s="2"/>
      <c r="H347" s="2"/>
      <c r="I347" s="2"/>
      <c r="J347" s="2"/>
      <c r="K347" s="2"/>
    </row>
    <row r="348" customFormat="false" ht="15.75" hidden="false" customHeight="false" outlineLevel="0" collapsed="false">
      <c r="A348" s="2"/>
      <c r="B348" s="2"/>
      <c r="C348" s="2"/>
      <c r="D348" s="2"/>
      <c r="E348" s="2"/>
      <c r="F348" s="2"/>
      <c r="G348" s="2"/>
      <c r="H348" s="2"/>
      <c r="I348" s="2"/>
      <c r="J348" s="2"/>
      <c r="K348" s="2"/>
    </row>
    <row r="349" customFormat="false" ht="15.75" hidden="false" customHeight="false" outlineLevel="0" collapsed="false">
      <c r="A349" s="2"/>
      <c r="B349" s="2"/>
      <c r="C349" s="2"/>
      <c r="D349" s="2"/>
      <c r="E349" s="2"/>
      <c r="F349" s="2"/>
      <c r="G349" s="2"/>
      <c r="H349" s="2"/>
      <c r="I349" s="2"/>
      <c r="J349" s="2"/>
      <c r="K349" s="2"/>
    </row>
    <row r="350" customFormat="false" ht="15.75" hidden="false" customHeight="false" outlineLevel="0" collapsed="false">
      <c r="A350" s="2"/>
      <c r="B350" s="2"/>
      <c r="C350" s="2"/>
      <c r="D350" s="2"/>
      <c r="E350" s="2"/>
      <c r="F350" s="2"/>
      <c r="G350" s="2"/>
      <c r="H350" s="2"/>
      <c r="I350" s="2"/>
      <c r="J350" s="2"/>
      <c r="K350" s="2"/>
    </row>
    <row r="351" customFormat="false" ht="15.75" hidden="false" customHeight="false" outlineLevel="0" collapsed="false">
      <c r="A351" s="2"/>
      <c r="B351" s="2"/>
      <c r="C351" s="2"/>
      <c r="D351" s="2"/>
      <c r="E351" s="2"/>
      <c r="F351" s="2"/>
      <c r="G351" s="2"/>
      <c r="H351" s="2"/>
      <c r="I351" s="2"/>
      <c r="J351" s="2"/>
      <c r="K351" s="2"/>
    </row>
    <row r="352" customFormat="false" ht="15.75" hidden="false" customHeight="false" outlineLevel="0" collapsed="false">
      <c r="A352" s="2"/>
      <c r="B352" s="2"/>
      <c r="C352" s="2"/>
      <c r="D352" s="2"/>
      <c r="E352" s="2"/>
      <c r="F352" s="2"/>
      <c r="G352" s="2"/>
      <c r="H352" s="2"/>
      <c r="I352" s="2"/>
      <c r="J352" s="2"/>
      <c r="K352" s="2"/>
    </row>
    <row r="353" customFormat="false" ht="15.75" hidden="false" customHeight="false" outlineLevel="0" collapsed="false">
      <c r="A353" s="2"/>
      <c r="B353" s="2"/>
      <c r="C353" s="2"/>
      <c r="D353" s="2"/>
      <c r="E353" s="2"/>
      <c r="F353" s="2"/>
      <c r="G353" s="2"/>
      <c r="H353" s="2"/>
      <c r="I353" s="2"/>
      <c r="J353" s="2"/>
      <c r="K353" s="2"/>
    </row>
    <row r="354" customFormat="false" ht="15.75" hidden="false" customHeight="false" outlineLevel="0" collapsed="false">
      <c r="A354" s="2"/>
      <c r="B354" s="2"/>
      <c r="C354" s="2"/>
      <c r="D354" s="2"/>
      <c r="E354" s="2"/>
      <c r="F354" s="2"/>
      <c r="G354" s="2"/>
      <c r="H354" s="2"/>
      <c r="I354" s="2"/>
      <c r="J354" s="2"/>
      <c r="K354" s="2"/>
    </row>
    <row r="355" customFormat="false" ht="15.75" hidden="false" customHeight="false" outlineLevel="0" collapsed="false">
      <c r="A355" s="2"/>
      <c r="B355" s="2"/>
      <c r="C355" s="2"/>
      <c r="D355" s="2"/>
      <c r="E355" s="2"/>
      <c r="F355" s="2"/>
      <c r="G355" s="2"/>
      <c r="H355" s="2"/>
      <c r="I355" s="2"/>
      <c r="J355" s="2"/>
      <c r="K355" s="2"/>
    </row>
    <row r="356" customFormat="false" ht="15.75" hidden="false" customHeight="false" outlineLevel="0" collapsed="false">
      <c r="A356" s="2"/>
      <c r="B356" s="2"/>
      <c r="C356" s="2"/>
      <c r="D356" s="2"/>
      <c r="E356" s="2"/>
      <c r="F356" s="2"/>
      <c r="G356" s="2"/>
      <c r="H356" s="2"/>
      <c r="I356" s="2"/>
      <c r="J356" s="2"/>
      <c r="K356" s="2"/>
    </row>
    <row r="357" customFormat="false" ht="15.75" hidden="false" customHeight="false" outlineLevel="0" collapsed="false">
      <c r="A357" s="2"/>
      <c r="B357" s="2"/>
      <c r="C357" s="2"/>
      <c r="D357" s="2"/>
      <c r="E357" s="2"/>
      <c r="F357" s="2"/>
      <c r="G357" s="2"/>
      <c r="H357" s="2"/>
      <c r="I357" s="2"/>
      <c r="J357" s="2"/>
      <c r="K357" s="2"/>
    </row>
    <row r="358" customFormat="false" ht="15.75" hidden="false" customHeight="false" outlineLevel="0" collapsed="false">
      <c r="A358" s="2"/>
      <c r="B358" s="2"/>
      <c r="C358" s="2"/>
      <c r="D358" s="2"/>
      <c r="E358" s="2"/>
      <c r="F358" s="2"/>
      <c r="G358" s="2"/>
      <c r="H358" s="2"/>
      <c r="I358" s="2"/>
      <c r="J358" s="2"/>
      <c r="K358" s="2"/>
    </row>
    <row r="359" customFormat="false" ht="15.75" hidden="false" customHeight="false" outlineLevel="0" collapsed="false">
      <c r="A359" s="2"/>
      <c r="B359" s="2"/>
      <c r="C359" s="2"/>
      <c r="D359" s="2"/>
      <c r="E359" s="2"/>
      <c r="F359" s="2"/>
      <c r="G359" s="2"/>
      <c r="H359" s="2"/>
      <c r="I359" s="2"/>
      <c r="J359" s="2"/>
      <c r="K359" s="2"/>
    </row>
    <row r="360" customFormat="false" ht="15.75" hidden="false" customHeight="false" outlineLevel="0" collapsed="false">
      <c r="A360" s="2"/>
      <c r="B360" s="2"/>
      <c r="C360" s="2"/>
      <c r="D360" s="2"/>
      <c r="E360" s="2"/>
      <c r="F360" s="2"/>
      <c r="G360" s="2"/>
      <c r="H360" s="2"/>
      <c r="I360" s="2"/>
      <c r="J360" s="2"/>
      <c r="K360" s="2"/>
    </row>
    <row r="361" customFormat="false" ht="15.75" hidden="false" customHeight="false" outlineLevel="0" collapsed="false">
      <c r="A361" s="2"/>
      <c r="B361" s="2"/>
      <c r="C361" s="2"/>
      <c r="D361" s="2"/>
      <c r="E361" s="2"/>
      <c r="F361" s="2"/>
      <c r="G361" s="2"/>
      <c r="H361" s="2"/>
      <c r="I361" s="2"/>
      <c r="J361" s="2"/>
      <c r="K361" s="2"/>
    </row>
    <row r="362" customFormat="false" ht="15.75" hidden="false" customHeight="false" outlineLevel="0" collapsed="false">
      <c r="A362" s="2"/>
      <c r="B362" s="2"/>
      <c r="C362" s="2"/>
      <c r="D362" s="2"/>
      <c r="E362" s="2"/>
      <c r="F362" s="2"/>
      <c r="G362" s="2"/>
      <c r="H362" s="2"/>
      <c r="I362" s="2"/>
      <c r="J362" s="2"/>
      <c r="K362" s="2"/>
    </row>
    <row r="363" customFormat="false" ht="15.75" hidden="false" customHeight="false" outlineLevel="0" collapsed="false">
      <c r="A363" s="2"/>
      <c r="B363" s="2"/>
      <c r="C363" s="2"/>
      <c r="D363" s="2"/>
      <c r="E363" s="2"/>
      <c r="F363" s="2"/>
      <c r="G363" s="2"/>
      <c r="H363" s="2"/>
      <c r="I363" s="2"/>
      <c r="J363" s="2"/>
      <c r="K363" s="2"/>
    </row>
    <row r="364" customFormat="false" ht="15.75" hidden="false" customHeight="false" outlineLevel="0" collapsed="false">
      <c r="A364" s="2"/>
      <c r="B364" s="2"/>
      <c r="C364" s="2"/>
      <c r="D364" s="2"/>
      <c r="E364" s="2"/>
      <c r="F364" s="2"/>
      <c r="G364" s="2"/>
      <c r="H364" s="2"/>
      <c r="I364" s="2"/>
      <c r="J364" s="2"/>
      <c r="K364" s="2"/>
    </row>
    <row r="365" customFormat="false" ht="15.75" hidden="false" customHeight="false" outlineLevel="0" collapsed="false">
      <c r="A365" s="2"/>
      <c r="B365" s="2"/>
      <c r="C365" s="2"/>
      <c r="D365" s="2"/>
      <c r="E365" s="2"/>
      <c r="F365" s="2"/>
      <c r="G365" s="2"/>
      <c r="H365" s="2"/>
      <c r="I365" s="2"/>
      <c r="J365" s="2"/>
      <c r="K365" s="2"/>
    </row>
    <row r="366" customFormat="false" ht="15.75" hidden="false" customHeight="false" outlineLevel="0" collapsed="false">
      <c r="A366" s="2"/>
      <c r="B366" s="2"/>
      <c r="C366" s="2"/>
      <c r="D366" s="2"/>
      <c r="E366" s="2"/>
      <c r="F366" s="2"/>
      <c r="G366" s="2"/>
      <c r="H366" s="2"/>
      <c r="I366" s="2"/>
      <c r="J366" s="2"/>
      <c r="K366" s="2"/>
    </row>
    <row r="367" customFormat="false" ht="15.75" hidden="false" customHeight="false" outlineLevel="0" collapsed="false">
      <c r="A367" s="2"/>
      <c r="B367" s="2"/>
      <c r="C367" s="2"/>
      <c r="D367" s="2"/>
      <c r="E367" s="2"/>
      <c r="F367" s="2"/>
      <c r="G367" s="2"/>
      <c r="H367" s="2"/>
      <c r="I367" s="2"/>
      <c r="J367" s="2"/>
      <c r="K367" s="2"/>
    </row>
    <row r="368" customFormat="false" ht="15.75" hidden="false" customHeight="false" outlineLevel="0" collapsed="false">
      <c r="A368" s="2"/>
      <c r="B368" s="2"/>
      <c r="C368" s="2"/>
      <c r="D368" s="2"/>
      <c r="E368" s="2"/>
      <c r="F368" s="2"/>
      <c r="G368" s="2"/>
      <c r="H368" s="2"/>
      <c r="I368" s="2"/>
      <c r="J368" s="2"/>
      <c r="K368" s="2"/>
    </row>
    <row r="369" customFormat="false" ht="15.75" hidden="false" customHeight="false" outlineLevel="0" collapsed="false">
      <c r="A369" s="2"/>
      <c r="B369" s="2"/>
      <c r="C369" s="2"/>
      <c r="D369" s="2"/>
      <c r="E369" s="2"/>
      <c r="F369" s="2"/>
      <c r="G369" s="2"/>
      <c r="H369" s="2"/>
      <c r="I369" s="2"/>
      <c r="J369" s="2"/>
      <c r="K369" s="2"/>
    </row>
    <row r="370" customFormat="false" ht="15.75" hidden="false" customHeight="false" outlineLevel="0" collapsed="false">
      <c r="A370" s="2"/>
      <c r="B370" s="2"/>
      <c r="C370" s="2"/>
      <c r="D370" s="2"/>
      <c r="E370" s="2"/>
      <c r="F370" s="2"/>
      <c r="G370" s="2"/>
      <c r="H370" s="2"/>
      <c r="I370" s="2"/>
      <c r="J370" s="2"/>
      <c r="K370" s="2"/>
    </row>
    <row r="371" customFormat="false" ht="15.75" hidden="false" customHeight="false" outlineLevel="0" collapsed="false">
      <c r="A371" s="2"/>
      <c r="B371" s="2"/>
      <c r="C371" s="2"/>
      <c r="D371" s="2"/>
      <c r="E371" s="2"/>
      <c r="F371" s="2"/>
      <c r="G371" s="2"/>
      <c r="H371" s="2"/>
      <c r="I371" s="2"/>
      <c r="J371" s="2"/>
      <c r="K371" s="2"/>
    </row>
    <row r="372" customFormat="false" ht="15.75" hidden="false" customHeight="false" outlineLevel="0" collapsed="false">
      <c r="A372" s="2"/>
      <c r="B372" s="2"/>
      <c r="C372" s="2"/>
      <c r="D372" s="2"/>
      <c r="E372" s="2"/>
      <c r="F372" s="2"/>
      <c r="G372" s="2"/>
      <c r="H372" s="2"/>
      <c r="I372" s="2"/>
      <c r="J372" s="2"/>
      <c r="K372" s="2"/>
    </row>
    <row r="373" customFormat="false" ht="15.75" hidden="false" customHeight="false" outlineLevel="0" collapsed="false">
      <c r="A373" s="2"/>
      <c r="B373" s="2"/>
      <c r="C373" s="2"/>
      <c r="D373" s="2"/>
      <c r="E373" s="2"/>
      <c r="F373" s="2"/>
      <c r="G373" s="2"/>
      <c r="H373" s="2"/>
      <c r="I373" s="2"/>
      <c r="J373" s="2"/>
      <c r="K373" s="2"/>
    </row>
    <row r="374" customFormat="false" ht="15.75" hidden="false" customHeight="false" outlineLevel="0" collapsed="false">
      <c r="A374" s="2"/>
      <c r="B374" s="2"/>
      <c r="C374" s="2"/>
      <c r="D374" s="2"/>
      <c r="E374" s="2"/>
      <c r="F374" s="2"/>
      <c r="G374" s="2"/>
      <c r="H374" s="2"/>
      <c r="I374" s="2"/>
      <c r="J374" s="2"/>
      <c r="K374" s="2"/>
    </row>
    <row r="375" customFormat="false" ht="15.75" hidden="false" customHeight="false" outlineLevel="0" collapsed="false">
      <c r="A375" s="2"/>
      <c r="B375" s="2"/>
      <c r="C375" s="2"/>
      <c r="D375" s="2"/>
      <c r="E375" s="2"/>
      <c r="F375" s="2"/>
      <c r="G375" s="2"/>
      <c r="H375" s="2"/>
      <c r="I375" s="2"/>
      <c r="J375" s="2"/>
      <c r="K375" s="2"/>
    </row>
    <row r="376" customFormat="false" ht="15.75" hidden="false" customHeight="false" outlineLevel="0" collapsed="false">
      <c r="A376" s="2"/>
      <c r="B376" s="2"/>
      <c r="C376" s="2"/>
      <c r="D376" s="2"/>
      <c r="E376" s="2"/>
      <c r="F376" s="2"/>
      <c r="G376" s="2"/>
      <c r="H376" s="2"/>
      <c r="I376" s="2"/>
      <c r="J376" s="2"/>
      <c r="K376" s="2"/>
    </row>
    <row r="377" customFormat="false" ht="15.75" hidden="false" customHeight="false" outlineLevel="0" collapsed="false">
      <c r="A377" s="2"/>
      <c r="B377" s="2"/>
      <c r="C377" s="2"/>
      <c r="D377" s="2"/>
      <c r="E377" s="2"/>
      <c r="F377" s="2"/>
      <c r="G377" s="2"/>
      <c r="H377" s="2"/>
      <c r="I377" s="2"/>
      <c r="J377" s="2"/>
      <c r="K377" s="2"/>
    </row>
    <row r="378" customFormat="false" ht="15.75" hidden="false" customHeight="false" outlineLevel="0" collapsed="false">
      <c r="A378" s="2"/>
      <c r="B378" s="2"/>
      <c r="C378" s="2"/>
      <c r="D378" s="2"/>
      <c r="E378" s="2"/>
      <c r="F378" s="2"/>
      <c r="G378" s="2"/>
      <c r="H378" s="2"/>
      <c r="I378" s="2"/>
      <c r="J378" s="2"/>
      <c r="K378" s="2"/>
    </row>
    <row r="379" customFormat="false" ht="15.75" hidden="false" customHeight="false" outlineLevel="0" collapsed="false">
      <c r="A379" s="2"/>
      <c r="B379" s="2"/>
      <c r="C379" s="2"/>
      <c r="D379" s="2"/>
      <c r="E379" s="2"/>
      <c r="F379" s="2"/>
      <c r="G379" s="2"/>
      <c r="H379" s="2"/>
      <c r="I379" s="2"/>
      <c r="J379" s="2"/>
      <c r="K379" s="2"/>
    </row>
    <row r="380" customFormat="false" ht="15.75" hidden="false" customHeight="false" outlineLevel="0" collapsed="false">
      <c r="A380" s="2"/>
      <c r="B380" s="2"/>
      <c r="C380" s="2"/>
      <c r="D380" s="2"/>
      <c r="E380" s="2"/>
      <c r="F380" s="2"/>
      <c r="G380" s="2"/>
      <c r="H380" s="2"/>
      <c r="I380" s="2"/>
      <c r="J380" s="2"/>
      <c r="K380" s="2"/>
    </row>
    <row r="381" customFormat="false" ht="15.75" hidden="false" customHeight="false" outlineLevel="0" collapsed="false">
      <c r="A381" s="2"/>
      <c r="B381" s="2"/>
      <c r="C381" s="2"/>
      <c r="D381" s="2"/>
      <c r="E381" s="2"/>
      <c r="F381" s="2"/>
      <c r="G381" s="2"/>
      <c r="H381" s="2"/>
      <c r="I381" s="2"/>
      <c r="J381" s="2"/>
      <c r="K381" s="2"/>
    </row>
    <row r="382" customFormat="false" ht="15.75" hidden="false" customHeight="false" outlineLevel="0" collapsed="false">
      <c r="A382" s="2"/>
      <c r="B382" s="2"/>
      <c r="C382" s="2"/>
      <c r="D382" s="2"/>
      <c r="E382" s="2"/>
      <c r="F382" s="2"/>
      <c r="G382" s="2"/>
      <c r="H382" s="2"/>
      <c r="I382" s="2"/>
      <c r="J382" s="2"/>
      <c r="K382" s="2"/>
    </row>
    <row r="383" customFormat="false" ht="15.75" hidden="false" customHeight="false" outlineLevel="0" collapsed="false">
      <c r="A383" s="2"/>
      <c r="B383" s="2"/>
      <c r="C383" s="2"/>
      <c r="D383" s="2"/>
      <c r="E383" s="2"/>
      <c r="F383" s="2"/>
      <c r="G383" s="2"/>
      <c r="H383" s="2"/>
      <c r="I383" s="2"/>
      <c r="J383" s="2"/>
      <c r="K383" s="2"/>
    </row>
    <row r="384" customFormat="false" ht="15.75" hidden="false" customHeight="false" outlineLevel="0" collapsed="false">
      <c r="A384" s="2"/>
      <c r="B384" s="2"/>
      <c r="C384" s="2"/>
      <c r="D384" s="2"/>
      <c r="E384" s="2"/>
      <c r="F384" s="2"/>
      <c r="G384" s="2"/>
      <c r="H384" s="2"/>
      <c r="I384" s="2"/>
      <c r="J384" s="2"/>
      <c r="K384" s="2"/>
    </row>
    <row r="385" customFormat="false" ht="15.75" hidden="false" customHeight="false" outlineLevel="0" collapsed="false">
      <c r="A385" s="2"/>
      <c r="B385" s="2"/>
      <c r="C385" s="2"/>
      <c r="D385" s="2"/>
      <c r="E385" s="2"/>
      <c r="F385" s="2"/>
      <c r="G385" s="2"/>
      <c r="H385" s="2"/>
      <c r="I385" s="2"/>
      <c r="J385" s="2"/>
      <c r="K385" s="2"/>
    </row>
    <row r="386" customFormat="false" ht="15.75" hidden="false" customHeight="false" outlineLevel="0" collapsed="false">
      <c r="A386" s="2"/>
      <c r="B386" s="2"/>
      <c r="C386" s="2"/>
      <c r="D386" s="2"/>
      <c r="E386" s="2"/>
      <c r="F386" s="2"/>
      <c r="G386" s="2"/>
      <c r="H386" s="2"/>
      <c r="I386" s="2"/>
      <c r="J386" s="2"/>
      <c r="K386" s="2"/>
    </row>
    <row r="387" customFormat="false" ht="15.75" hidden="false" customHeight="false" outlineLevel="0" collapsed="false">
      <c r="A387" s="2"/>
      <c r="B387" s="2"/>
      <c r="C387" s="2"/>
      <c r="D387" s="2"/>
      <c r="E387" s="2"/>
      <c r="F387" s="2"/>
      <c r="G387" s="2"/>
      <c r="H387" s="2"/>
      <c r="I387" s="2"/>
      <c r="J387" s="2"/>
      <c r="K387" s="2"/>
    </row>
    <row r="388" customFormat="false" ht="15.75" hidden="false" customHeight="false" outlineLevel="0" collapsed="false">
      <c r="A388" s="2"/>
      <c r="B388" s="2"/>
      <c r="C388" s="2"/>
      <c r="D388" s="2"/>
      <c r="E388" s="2"/>
      <c r="F388" s="2"/>
      <c r="G388" s="2"/>
      <c r="H388" s="2"/>
      <c r="I388" s="2"/>
      <c r="J388" s="2"/>
      <c r="K388" s="2"/>
    </row>
    <row r="389" customFormat="false" ht="15.75" hidden="false" customHeight="false" outlineLevel="0" collapsed="false">
      <c r="A389" s="2"/>
      <c r="B389" s="2"/>
      <c r="C389" s="2"/>
      <c r="D389" s="2"/>
      <c r="E389" s="2"/>
      <c r="F389" s="2"/>
      <c r="G389" s="2"/>
      <c r="H389" s="2"/>
      <c r="I389" s="2"/>
      <c r="J389" s="2"/>
      <c r="K389" s="2"/>
    </row>
    <row r="390" customFormat="false" ht="15.75" hidden="false" customHeight="false" outlineLevel="0" collapsed="false">
      <c r="A390" s="2"/>
      <c r="B390" s="2"/>
      <c r="C390" s="2"/>
      <c r="D390" s="2"/>
      <c r="E390" s="2"/>
      <c r="F390" s="2"/>
      <c r="G390" s="2"/>
      <c r="H390" s="2"/>
      <c r="I390" s="2"/>
      <c r="J390" s="2"/>
      <c r="K390" s="2"/>
    </row>
    <row r="391" customFormat="false" ht="15.75" hidden="false" customHeight="false" outlineLevel="0" collapsed="false">
      <c r="A391" s="2"/>
      <c r="B391" s="2"/>
      <c r="C391" s="2"/>
      <c r="D391" s="2"/>
      <c r="E391" s="2"/>
      <c r="F391" s="2"/>
      <c r="G391" s="2"/>
      <c r="H391" s="2"/>
      <c r="I391" s="2"/>
      <c r="J391" s="2"/>
      <c r="K391" s="2"/>
    </row>
    <row r="392" customFormat="false" ht="15.75" hidden="false" customHeight="false" outlineLevel="0" collapsed="false">
      <c r="A392" s="2"/>
      <c r="B392" s="2"/>
      <c r="C392" s="2"/>
      <c r="D392" s="2"/>
      <c r="E392" s="2"/>
      <c r="F392" s="2"/>
      <c r="G392" s="2"/>
      <c r="H392" s="2"/>
      <c r="I392" s="2"/>
      <c r="J392" s="2"/>
      <c r="K392" s="2"/>
    </row>
    <row r="393" customFormat="false" ht="15.75" hidden="false" customHeight="false" outlineLevel="0" collapsed="false">
      <c r="A393" s="2"/>
      <c r="B393" s="2"/>
      <c r="C393" s="2"/>
      <c r="D393" s="2"/>
      <c r="E393" s="2"/>
      <c r="F393" s="2"/>
      <c r="G393" s="2"/>
      <c r="H393" s="2"/>
      <c r="I393" s="2"/>
      <c r="J393" s="2"/>
      <c r="K393" s="2"/>
    </row>
    <row r="394" customFormat="false" ht="15.75" hidden="false" customHeight="false" outlineLevel="0" collapsed="false">
      <c r="A394" s="2"/>
      <c r="B394" s="2"/>
      <c r="C394" s="2"/>
      <c r="D394" s="2"/>
      <c r="E394" s="2"/>
      <c r="F394" s="2"/>
      <c r="G394" s="2"/>
      <c r="H394" s="2"/>
      <c r="I394" s="2"/>
      <c r="J394" s="2"/>
      <c r="K394" s="2"/>
    </row>
    <row r="395" customFormat="false" ht="15.75" hidden="false" customHeight="false" outlineLevel="0" collapsed="false">
      <c r="A395" s="2"/>
      <c r="B395" s="2"/>
      <c r="C395" s="2"/>
      <c r="D395" s="2"/>
      <c r="E395" s="2"/>
      <c r="F395" s="2"/>
      <c r="G395" s="2"/>
      <c r="H395" s="2"/>
      <c r="I395" s="2"/>
      <c r="J395" s="2"/>
      <c r="K395" s="2"/>
    </row>
    <row r="396" customFormat="false" ht="15.75" hidden="false" customHeight="false" outlineLevel="0" collapsed="false">
      <c r="A396" s="2"/>
      <c r="B396" s="2"/>
      <c r="C396" s="2"/>
      <c r="D396" s="2"/>
      <c r="E396" s="2"/>
      <c r="F396" s="2"/>
      <c r="G396" s="2"/>
      <c r="H396" s="2"/>
      <c r="I396" s="2"/>
      <c r="J396" s="2"/>
      <c r="K396" s="2"/>
    </row>
    <row r="397" customFormat="false" ht="15.75" hidden="false" customHeight="false" outlineLevel="0" collapsed="false">
      <c r="A397" s="2"/>
      <c r="B397" s="2"/>
      <c r="C397" s="2"/>
      <c r="D397" s="2"/>
      <c r="E397" s="2"/>
      <c r="F397" s="2"/>
      <c r="G397" s="2"/>
      <c r="H397" s="2"/>
      <c r="I397" s="2"/>
      <c r="J397" s="2"/>
      <c r="K397" s="2"/>
    </row>
    <row r="398" customFormat="false" ht="15.75" hidden="false" customHeight="false" outlineLevel="0" collapsed="false">
      <c r="A398" s="2"/>
      <c r="B398" s="2"/>
      <c r="C398" s="2"/>
      <c r="D398" s="2"/>
      <c r="E398" s="2"/>
      <c r="F398" s="2"/>
      <c r="G398" s="2"/>
      <c r="H398" s="2"/>
      <c r="I398" s="2"/>
      <c r="J398" s="2"/>
      <c r="K398" s="2"/>
    </row>
    <row r="399" customFormat="false" ht="15.75" hidden="false" customHeight="false" outlineLevel="0" collapsed="false">
      <c r="A399" s="2"/>
      <c r="B399" s="2"/>
      <c r="C399" s="2"/>
      <c r="D399" s="2"/>
      <c r="E399" s="2"/>
      <c r="F399" s="2"/>
      <c r="G399" s="2"/>
      <c r="H399" s="2"/>
      <c r="I399" s="2"/>
      <c r="J399" s="2"/>
      <c r="K399" s="2"/>
    </row>
    <row r="400" customFormat="false" ht="15.75" hidden="false" customHeight="false" outlineLevel="0" collapsed="false">
      <c r="A400" s="2"/>
      <c r="B400" s="2"/>
      <c r="C400" s="2"/>
      <c r="D400" s="2"/>
      <c r="E400" s="2"/>
      <c r="F400" s="2"/>
      <c r="G400" s="2"/>
      <c r="H400" s="2"/>
      <c r="I400" s="2"/>
      <c r="J400" s="2"/>
      <c r="K400" s="2"/>
    </row>
    <row r="401" customFormat="false" ht="15.75" hidden="false" customHeight="false" outlineLevel="0" collapsed="false">
      <c r="A401" s="2"/>
      <c r="B401" s="2"/>
      <c r="C401" s="2"/>
      <c r="D401" s="2"/>
      <c r="E401" s="2"/>
      <c r="F401" s="2"/>
      <c r="G401" s="2"/>
      <c r="H401" s="2"/>
      <c r="I401" s="2"/>
      <c r="J401" s="2"/>
      <c r="K401" s="2"/>
    </row>
    <row r="402" customFormat="false" ht="15.75" hidden="false" customHeight="false" outlineLevel="0" collapsed="false">
      <c r="A402" s="2"/>
      <c r="B402" s="2"/>
      <c r="C402" s="2"/>
      <c r="D402" s="2"/>
      <c r="E402" s="2"/>
      <c r="F402" s="2"/>
      <c r="G402" s="2"/>
      <c r="H402" s="2"/>
      <c r="I402" s="2"/>
      <c r="J402" s="2"/>
      <c r="K402" s="2"/>
    </row>
    <row r="403" customFormat="false" ht="15.75" hidden="false" customHeight="false" outlineLevel="0" collapsed="false">
      <c r="A403" s="2"/>
      <c r="B403" s="2"/>
      <c r="C403" s="2"/>
      <c r="D403" s="2"/>
      <c r="E403" s="2"/>
      <c r="F403" s="2"/>
      <c r="G403" s="2"/>
      <c r="H403" s="2"/>
      <c r="I403" s="2"/>
      <c r="J403" s="2"/>
      <c r="K403" s="2"/>
    </row>
    <row r="404" customFormat="false" ht="15.75" hidden="false" customHeight="false" outlineLevel="0" collapsed="false">
      <c r="A404" s="2"/>
      <c r="B404" s="2"/>
      <c r="C404" s="2"/>
      <c r="D404" s="2"/>
      <c r="E404" s="2"/>
      <c r="F404" s="2"/>
      <c r="G404" s="2"/>
      <c r="H404" s="2"/>
      <c r="I404" s="2"/>
      <c r="J404" s="2"/>
      <c r="K404" s="2"/>
    </row>
    <row r="405" customFormat="false" ht="15.75" hidden="false" customHeight="false" outlineLevel="0" collapsed="false">
      <c r="A405" s="2"/>
      <c r="B405" s="2"/>
      <c r="C405" s="2"/>
      <c r="D405" s="2"/>
      <c r="E405" s="2"/>
      <c r="F405" s="2"/>
      <c r="G405" s="2"/>
      <c r="H405" s="2"/>
      <c r="I405" s="2"/>
      <c r="J405" s="2"/>
      <c r="K405" s="2"/>
    </row>
    <row r="406" customFormat="false" ht="15.75" hidden="false" customHeight="false" outlineLevel="0" collapsed="false">
      <c r="A406" s="2"/>
      <c r="B406" s="2"/>
      <c r="C406" s="2"/>
      <c r="D406" s="2"/>
      <c r="E406" s="2"/>
      <c r="F406" s="2"/>
      <c r="G406" s="2"/>
      <c r="H406" s="2"/>
      <c r="I406" s="2"/>
      <c r="J406" s="2"/>
      <c r="K406" s="2"/>
    </row>
    <row r="407" customFormat="false" ht="15.75" hidden="false" customHeight="false" outlineLevel="0" collapsed="false">
      <c r="A407" s="2"/>
      <c r="B407" s="2"/>
      <c r="C407" s="2"/>
      <c r="D407" s="2"/>
      <c r="E407" s="2"/>
      <c r="F407" s="2"/>
      <c r="G407" s="2"/>
      <c r="H407" s="2"/>
      <c r="I407" s="2"/>
      <c r="J407" s="2"/>
      <c r="K407" s="2"/>
    </row>
    <row r="408" customFormat="false" ht="15.75" hidden="false" customHeight="false" outlineLevel="0" collapsed="false">
      <c r="A408" s="2"/>
      <c r="B408" s="2"/>
      <c r="C408" s="2"/>
      <c r="D408" s="2"/>
      <c r="E408" s="2"/>
      <c r="F408" s="2"/>
      <c r="G408" s="2"/>
      <c r="H408" s="2"/>
      <c r="I408" s="2"/>
      <c r="J408" s="2"/>
      <c r="K408" s="2"/>
    </row>
    <row r="409" customFormat="false" ht="15.75" hidden="false" customHeight="false" outlineLevel="0" collapsed="false">
      <c r="A409" s="2"/>
      <c r="B409" s="2"/>
      <c r="C409" s="2"/>
      <c r="D409" s="2"/>
      <c r="E409" s="2"/>
      <c r="F409" s="2"/>
      <c r="G409" s="2"/>
      <c r="H409" s="2"/>
      <c r="I409" s="2"/>
      <c r="J409" s="2"/>
      <c r="K409" s="2"/>
    </row>
    <row r="410" customFormat="false" ht="15.75" hidden="false" customHeight="false" outlineLevel="0" collapsed="false">
      <c r="A410" s="2"/>
      <c r="B410" s="2"/>
      <c r="C410" s="2"/>
      <c r="D410" s="2"/>
      <c r="E410" s="2"/>
      <c r="F410" s="2"/>
      <c r="G410" s="2"/>
      <c r="H410" s="2"/>
      <c r="I410" s="2"/>
      <c r="J410" s="2"/>
      <c r="K410" s="2"/>
    </row>
    <row r="411" customFormat="false" ht="15.75" hidden="false" customHeight="false" outlineLevel="0" collapsed="false">
      <c r="A411" s="2"/>
      <c r="B411" s="2"/>
      <c r="C411" s="2"/>
      <c r="D411" s="2"/>
      <c r="E411" s="2"/>
      <c r="F411" s="2"/>
      <c r="G411" s="2"/>
      <c r="H411" s="2"/>
      <c r="I411" s="2"/>
      <c r="J411" s="2"/>
      <c r="K411" s="2"/>
    </row>
    <row r="412" customFormat="false" ht="15.75" hidden="false" customHeight="false" outlineLevel="0" collapsed="false">
      <c r="A412" s="2"/>
      <c r="B412" s="2"/>
      <c r="C412" s="2"/>
      <c r="D412" s="2"/>
      <c r="E412" s="2"/>
      <c r="F412" s="2"/>
      <c r="G412" s="2"/>
      <c r="H412" s="2"/>
      <c r="I412" s="2"/>
      <c r="J412" s="2"/>
      <c r="K412" s="2"/>
    </row>
    <row r="413" customFormat="false" ht="15.75" hidden="false" customHeight="false" outlineLevel="0" collapsed="false">
      <c r="A413" s="2"/>
      <c r="B413" s="2"/>
      <c r="C413" s="2"/>
      <c r="D413" s="2"/>
      <c r="E413" s="2"/>
      <c r="F413" s="2"/>
      <c r="G413" s="2"/>
      <c r="H413" s="2"/>
      <c r="I413" s="2"/>
      <c r="J413" s="2"/>
      <c r="K413" s="2"/>
    </row>
    <row r="414" customFormat="false" ht="15.75" hidden="false" customHeight="false" outlineLevel="0" collapsed="false">
      <c r="A414" s="2"/>
      <c r="B414" s="2"/>
      <c r="C414" s="2"/>
      <c r="D414" s="2"/>
      <c r="E414" s="2"/>
      <c r="F414" s="2"/>
      <c r="G414" s="2"/>
      <c r="H414" s="2"/>
      <c r="I414" s="2"/>
      <c r="J414" s="2"/>
      <c r="K414" s="2"/>
    </row>
    <row r="415" customFormat="false" ht="15.75" hidden="false" customHeight="false" outlineLevel="0" collapsed="false">
      <c r="A415" s="2"/>
      <c r="B415" s="2"/>
      <c r="C415" s="2"/>
      <c r="D415" s="2"/>
      <c r="E415" s="2"/>
      <c r="F415" s="2"/>
      <c r="G415" s="2"/>
      <c r="H415" s="2"/>
      <c r="I415" s="2"/>
      <c r="J415" s="2"/>
      <c r="K415" s="2"/>
    </row>
    <row r="416" customFormat="false" ht="15.75" hidden="false" customHeight="false" outlineLevel="0" collapsed="false">
      <c r="A416" s="2"/>
      <c r="B416" s="2"/>
      <c r="C416" s="2"/>
      <c r="D416" s="2"/>
      <c r="E416" s="2"/>
      <c r="F416" s="2"/>
      <c r="G416" s="2"/>
      <c r="H416" s="2"/>
      <c r="I416" s="2"/>
      <c r="J416" s="2"/>
      <c r="K416" s="2"/>
    </row>
    <row r="417" customFormat="false" ht="15.75" hidden="false" customHeight="false" outlineLevel="0" collapsed="false">
      <c r="A417" s="2"/>
      <c r="B417" s="2"/>
      <c r="C417" s="2"/>
      <c r="D417" s="2"/>
      <c r="E417" s="2"/>
      <c r="F417" s="2"/>
      <c r="G417" s="2"/>
      <c r="H417" s="2"/>
      <c r="I417" s="2"/>
      <c r="J417" s="2"/>
      <c r="K417" s="2"/>
    </row>
    <row r="418" customFormat="false" ht="15.75" hidden="false" customHeight="false" outlineLevel="0" collapsed="false">
      <c r="A418" s="2"/>
      <c r="B418" s="2"/>
      <c r="C418" s="2"/>
      <c r="D418" s="2"/>
      <c r="E418" s="2"/>
      <c r="F418" s="2"/>
      <c r="G418" s="2"/>
      <c r="H418" s="2"/>
      <c r="I418" s="2"/>
      <c r="J418" s="2"/>
      <c r="K418" s="2"/>
    </row>
    <row r="419" customFormat="false" ht="15.75" hidden="false" customHeight="false" outlineLevel="0" collapsed="false">
      <c r="A419" s="2"/>
      <c r="B419" s="2"/>
      <c r="C419" s="2"/>
      <c r="D419" s="2"/>
      <c r="E419" s="2"/>
      <c r="F419" s="2"/>
      <c r="G419" s="2"/>
      <c r="H419" s="2"/>
      <c r="I419" s="2"/>
      <c r="J419" s="2"/>
      <c r="K419" s="2"/>
    </row>
    <row r="420" customFormat="false" ht="15.75" hidden="false" customHeight="false" outlineLevel="0" collapsed="false">
      <c r="A420" s="2"/>
      <c r="B420" s="2"/>
      <c r="C420" s="2"/>
      <c r="D420" s="2"/>
      <c r="E420" s="2"/>
      <c r="F420" s="2"/>
      <c r="G420" s="2"/>
      <c r="H420" s="2"/>
      <c r="I420" s="2"/>
      <c r="J420" s="2"/>
      <c r="K420" s="2"/>
    </row>
    <row r="421" customFormat="false" ht="15.75" hidden="false" customHeight="false" outlineLevel="0" collapsed="false">
      <c r="A421" s="2"/>
      <c r="B421" s="2"/>
      <c r="C421" s="2"/>
      <c r="D421" s="2"/>
      <c r="E421" s="2"/>
      <c r="F421" s="2"/>
      <c r="G421" s="2"/>
      <c r="H421" s="2"/>
      <c r="I421" s="2"/>
      <c r="J421" s="2"/>
      <c r="K421" s="2"/>
    </row>
    <row r="422" customFormat="false" ht="15.75" hidden="false" customHeight="false" outlineLevel="0" collapsed="false">
      <c r="A422" s="2"/>
      <c r="B422" s="2"/>
      <c r="C422" s="2"/>
      <c r="D422" s="2"/>
      <c r="E422" s="2"/>
      <c r="F422" s="2"/>
      <c r="G422" s="2"/>
      <c r="H422" s="2"/>
      <c r="I422" s="2"/>
      <c r="J422" s="2"/>
      <c r="K422" s="2"/>
    </row>
    <row r="423" customFormat="false" ht="15.75" hidden="false" customHeight="false" outlineLevel="0" collapsed="false">
      <c r="A423" s="2"/>
      <c r="B423" s="2"/>
      <c r="C423" s="2"/>
      <c r="D423" s="2"/>
      <c r="E423" s="2"/>
      <c r="F423" s="2"/>
      <c r="G423" s="2"/>
      <c r="H423" s="2"/>
      <c r="I423" s="2"/>
      <c r="J423" s="2"/>
      <c r="K423" s="2"/>
    </row>
    <row r="424" customFormat="false" ht="15.75" hidden="false" customHeight="false" outlineLevel="0" collapsed="false">
      <c r="A424" s="2"/>
      <c r="B424" s="2"/>
      <c r="C424" s="2"/>
      <c r="D424" s="2"/>
      <c r="E424" s="2"/>
      <c r="F424" s="2"/>
      <c r="G424" s="2"/>
      <c r="H424" s="2"/>
      <c r="I424" s="2"/>
      <c r="J424" s="2"/>
      <c r="K424" s="2"/>
    </row>
    <row r="425" customFormat="false" ht="15.75" hidden="false" customHeight="false" outlineLevel="0" collapsed="false">
      <c r="A425" s="2"/>
      <c r="B425" s="2"/>
      <c r="C425" s="2"/>
      <c r="D425" s="2"/>
      <c r="E425" s="2"/>
      <c r="F425" s="2"/>
      <c r="G425" s="2"/>
      <c r="H425" s="2"/>
      <c r="I425" s="2"/>
      <c r="J425" s="2"/>
      <c r="K425" s="2"/>
    </row>
    <row r="426" customFormat="false" ht="15.75" hidden="false" customHeight="false" outlineLevel="0" collapsed="false">
      <c r="A426" s="2"/>
      <c r="B426" s="2"/>
      <c r="C426" s="2"/>
      <c r="D426" s="2"/>
      <c r="E426" s="2"/>
      <c r="F426" s="2"/>
      <c r="G426" s="2"/>
      <c r="H426" s="2"/>
      <c r="I426" s="2"/>
      <c r="J426" s="2"/>
      <c r="K426" s="2"/>
    </row>
    <row r="427" customFormat="false" ht="15.75" hidden="false" customHeight="false" outlineLevel="0" collapsed="false">
      <c r="A427" s="2"/>
      <c r="B427" s="2"/>
      <c r="C427" s="2"/>
      <c r="D427" s="2"/>
      <c r="E427" s="2"/>
      <c r="F427" s="2"/>
      <c r="G427" s="2"/>
      <c r="H427" s="2"/>
      <c r="I427" s="2"/>
      <c r="J427" s="2"/>
      <c r="K427" s="2"/>
    </row>
    <row r="428" customFormat="false" ht="15.75" hidden="false" customHeight="false" outlineLevel="0" collapsed="false">
      <c r="A428" s="2"/>
      <c r="B428" s="2"/>
      <c r="C428" s="2"/>
      <c r="D428" s="2"/>
      <c r="E428" s="2"/>
      <c r="F428" s="2"/>
      <c r="G428" s="2"/>
      <c r="H428" s="2"/>
      <c r="I428" s="2"/>
      <c r="J428" s="2"/>
      <c r="K428" s="2"/>
    </row>
    <row r="429" customFormat="false" ht="15.75" hidden="false" customHeight="false" outlineLevel="0" collapsed="false">
      <c r="A429" s="2"/>
      <c r="B429" s="2"/>
      <c r="C429" s="2"/>
      <c r="D429" s="2"/>
      <c r="E429" s="2"/>
      <c r="F429" s="2"/>
      <c r="G429" s="2"/>
      <c r="H429" s="2"/>
      <c r="I429" s="2"/>
      <c r="J429" s="2"/>
      <c r="K429" s="2"/>
    </row>
    <row r="430" customFormat="false" ht="15.75" hidden="false" customHeight="false" outlineLevel="0" collapsed="false">
      <c r="A430" s="2"/>
      <c r="B430" s="2"/>
      <c r="C430" s="2"/>
      <c r="D430" s="2"/>
      <c r="E430" s="2"/>
      <c r="F430" s="2"/>
      <c r="G430" s="2"/>
      <c r="H430" s="2"/>
      <c r="I430" s="2"/>
      <c r="J430" s="2"/>
      <c r="K430" s="2"/>
    </row>
    <row r="431" customFormat="false" ht="15.75" hidden="false" customHeight="false" outlineLevel="0" collapsed="false">
      <c r="A431" s="2"/>
      <c r="B431" s="2"/>
      <c r="C431" s="2"/>
      <c r="D431" s="2"/>
      <c r="E431" s="2"/>
      <c r="F431" s="2"/>
      <c r="G431" s="2"/>
      <c r="H431" s="2"/>
      <c r="I431" s="2"/>
      <c r="J431" s="2"/>
      <c r="K431" s="2"/>
    </row>
    <row r="432" customFormat="false" ht="15.75" hidden="false" customHeight="false" outlineLevel="0" collapsed="false">
      <c r="A432" s="2"/>
      <c r="B432" s="2"/>
      <c r="C432" s="2"/>
      <c r="D432" s="2"/>
      <c r="E432" s="2"/>
      <c r="F432" s="2"/>
      <c r="G432" s="2"/>
      <c r="H432" s="2"/>
      <c r="I432" s="2"/>
      <c r="J432" s="2"/>
      <c r="K432" s="2"/>
    </row>
    <row r="433" customFormat="false" ht="15.75" hidden="false" customHeight="false" outlineLevel="0" collapsed="false">
      <c r="A433" s="2"/>
      <c r="B433" s="2"/>
      <c r="C433" s="2"/>
      <c r="D433" s="2"/>
      <c r="E433" s="2"/>
      <c r="F433" s="2"/>
      <c r="G433" s="2"/>
      <c r="H433" s="2"/>
      <c r="I433" s="2"/>
      <c r="J433" s="2"/>
      <c r="K433" s="2"/>
    </row>
    <row r="434" customFormat="false" ht="15.75" hidden="false" customHeight="false" outlineLevel="0" collapsed="false">
      <c r="A434" s="2"/>
      <c r="B434" s="2"/>
      <c r="C434" s="2"/>
      <c r="D434" s="2"/>
      <c r="E434" s="2"/>
      <c r="F434" s="2"/>
      <c r="G434" s="2"/>
      <c r="H434" s="2"/>
      <c r="I434" s="2"/>
      <c r="J434" s="2"/>
      <c r="K434" s="2"/>
    </row>
    <row r="435" customFormat="false" ht="15.75" hidden="false" customHeight="false" outlineLevel="0" collapsed="false">
      <c r="A435" s="2"/>
      <c r="B435" s="2"/>
      <c r="C435" s="2"/>
      <c r="D435" s="2"/>
      <c r="E435" s="2"/>
      <c r="F435" s="2"/>
      <c r="G435" s="2"/>
      <c r="H435" s="2"/>
      <c r="I435" s="2"/>
      <c r="J435" s="2"/>
      <c r="K435" s="2"/>
    </row>
    <row r="436" customFormat="false" ht="15.75" hidden="false" customHeight="false" outlineLevel="0" collapsed="false">
      <c r="A436" s="2"/>
      <c r="B436" s="2"/>
      <c r="C436" s="2"/>
      <c r="D436" s="2"/>
      <c r="E436" s="2"/>
      <c r="F436" s="2"/>
      <c r="G436" s="2"/>
      <c r="H436" s="2"/>
      <c r="I436" s="2"/>
      <c r="J436" s="2"/>
      <c r="K436" s="2"/>
    </row>
    <row r="437" customFormat="false" ht="15.75" hidden="false" customHeight="false" outlineLevel="0" collapsed="false">
      <c r="A437" s="2"/>
      <c r="B437" s="2"/>
      <c r="C437" s="2"/>
      <c r="D437" s="2"/>
      <c r="E437" s="2"/>
      <c r="F437" s="2"/>
      <c r="G437" s="2"/>
      <c r="H437" s="2"/>
      <c r="I437" s="2"/>
      <c r="J437" s="2"/>
      <c r="K437" s="2"/>
    </row>
    <row r="438" customFormat="false" ht="15.75" hidden="false" customHeight="false" outlineLevel="0" collapsed="false">
      <c r="A438" s="2"/>
      <c r="B438" s="2"/>
      <c r="C438" s="2"/>
      <c r="D438" s="2"/>
      <c r="E438" s="2"/>
      <c r="F438" s="2"/>
      <c r="G438" s="2"/>
      <c r="H438" s="2"/>
      <c r="I438" s="2"/>
      <c r="J438" s="2"/>
      <c r="K438" s="2"/>
    </row>
    <row r="439" customFormat="false" ht="15.75" hidden="false" customHeight="false" outlineLevel="0" collapsed="false">
      <c r="A439" s="2"/>
      <c r="B439" s="2"/>
      <c r="C439" s="2"/>
      <c r="D439" s="2"/>
      <c r="E439" s="2"/>
      <c r="F439" s="2"/>
      <c r="G439" s="2"/>
      <c r="H439" s="2"/>
      <c r="I439" s="2"/>
      <c r="J439" s="2"/>
      <c r="K439" s="2"/>
    </row>
    <row r="440" customFormat="false" ht="15.75" hidden="false" customHeight="false" outlineLevel="0" collapsed="false">
      <c r="A440" s="2"/>
      <c r="B440" s="2"/>
      <c r="C440" s="2"/>
      <c r="D440" s="2"/>
      <c r="E440" s="2"/>
      <c r="F440" s="2"/>
      <c r="G440" s="2"/>
      <c r="H440" s="2"/>
      <c r="I440" s="2"/>
      <c r="J440" s="2"/>
      <c r="K440" s="2"/>
    </row>
    <row r="441" customFormat="false" ht="15.75" hidden="false" customHeight="false" outlineLevel="0" collapsed="false">
      <c r="A441" s="2"/>
      <c r="B441" s="2"/>
      <c r="C441" s="2"/>
      <c r="D441" s="2"/>
      <c r="E441" s="2"/>
      <c r="F441" s="2"/>
      <c r="G441" s="2"/>
      <c r="H441" s="2"/>
      <c r="I441" s="2"/>
      <c r="J441" s="2"/>
      <c r="K441" s="2"/>
    </row>
    <row r="442" customFormat="false" ht="15.75" hidden="false" customHeight="false" outlineLevel="0" collapsed="false">
      <c r="A442" s="2"/>
      <c r="B442" s="2"/>
      <c r="C442" s="2"/>
      <c r="D442" s="2"/>
      <c r="E442" s="2"/>
      <c r="F442" s="2"/>
      <c r="G442" s="2"/>
      <c r="H442" s="2"/>
      <c r="I442" s="2"/>
      <c r="J442" s="2"/>
      <c r="K442" s="2"/>
    </row>
    <row r="443" customFormat="false" ht="15.75" hidden="false" customHeight="false" outlineLevel="0" collapsed="false">
      <c r="A443" s="2"/>
      <c r="B443" s="2"/>
      <c r="C443" s="2"/>
      <c r="D443" s="2"/>
      <c r="E443" s="2"/>
      <c r="F443" s="2"/>
      <c r="G443" s="2"/>
      <c r="H443" s="2"/>
      <c r="I443" s="2"/>
      <c r="J443" s="2"/>
      <c r="K443" s="2"/>
    </row>
    <row r="444" customFormat="false" ht="15.75" hidden="false" customHeight="false" outlineLevel="0" collapsed="false">
      <c r="A444" s="2"/>
      <c r="B444" s="2"/>
      <c r="C444" s="2"/>
      <c r="D444" s="2"/>
      <c r="E444" s="2"/>
      <c r="F444" s="2"/>
      <c r="G444" s="2"/>
      <c r="H444" s="2"/>
      <c r="I444" s="2"/>
      <c r="J444" s="2"/>
      <c r="K444" s="2"/>
    </row>
    <row r="445" customFormat="false" ht="15.75" hidden="false" customHeight="false" outlineLevel="0" collapsed="false">
      <c r="A445" s="2"/>
      <c r="B445" s="2"/>
      <c r="C445" s="2"/>
      <c r="D445" s="2"/>
      <c r="E445" s="2"/>
      <c r="F445" s="2"/>
      <c r="G445" s="2"/>
      <c r="H445" s="2"/>
      <c r="I445" s="2"/>
      <c r="J445" s="2"/>
      <c r="K445" s="2"/>
    </row>
    <row r="446" customFormat="false" ht="15.75" hidden="false" customHeight="false" outlineLevel="0" collapsed="false">
      <c r="A446" s="2"/>
      <c r="B446" s="2"/>
      <c r="C446" s="2"/>
      <c r="D446" s="2"/>
      <c r="E446" s="2"/>
      <c r="F446" s="2"/>
      <c r="G446" s="2"/>
      <c r="H446" s="2"/>
      <c r="I446" s="2"/>
      <c r="J446" s="2"/>
      <c r="K446" s="2"/>
    </row>
    <row r="447" customFormat="false" ht="15.75" hidden="false" customHeight="false" outlineLevel="0" collapsed="false">
      <c r="A447" s="2"/>
      <c r="B447" s="2"/>
      <c r="C447" s="2"/>
      <c r="D447" s="2"/>
      <c r="E447" s="2"/>
      <c r="F447" s="2"/>
      <c r="G447" s="2"/>
      <c r="H447" s="2"/>
      <c r="I447" s="2"/>
      <c r="J447" s="2"/>
      <c r="K447" s="2"/>
    </row>
    <row r="448" customFormat="false" ht="15.75" hidden="false" customHeight="false" outlineLevel="0" collapsed="false">
      <c r="A448" s="2"/>
      <c r="B448" s="2"/>
      <c r="C448" s="2"/>
      <c r="D448" s="2"/>
      <c r="E448" s="2"/>
      <c r="F448" s="2"/>
      <c r="G448" s="2"/>
      <c r="H448" s="2"/>
      <c r="I448" s="2"/>
      <c r="J448" s="2"/>
      <c r="K448" s="2"/>
    </row>
    <row r="449" customFormat="false" ht="15.75" hidden="false" customHeight="false" outlineLevel="0" collapsed="false">
      <c r="A449" s="2"/>
      <c r="B449" s="2"/>
      <c r="C449" s="2"/>
      <c r="D449" s="2"/>
      <c r="E449" s="2"/>
      <c r="F449" s="2"/>
      <c r="G449" s="2"/>
      <c r="H449" s="2"/>
      <c r="I449" s="2"/>
      <c r="J449" s="2"/>
      <c r="K449" s="2"/>
    </row>
    <row r="450" customFormat="false" ht="15.75" hidden="false" customHeight="false" outlineLevel="0" collapsed="false">
      <c r="A450" s="2"/>
      <c r="B450" s="2"/>
      <c r="C450" s="2"/>
      <c r="D450" s="2"/>
      <c r="E450" s="2"/>
      <c r="F450" s="2"/>
      <c r="G450" s="2"/>
      <c r="H450" s="2"/>
      <c r="I450" s="2"/>
      <c r="J450" s="2"/>
      <c r="K450" s="2"/>
    </row>
    <row r="451" customFormat="false" ht="15.75" hidden="false" customHeight="false" outlineLevel="0" collapsed="false">
      <c r="A451" s="2"/>
      <c r="B451" s="2"/>
      <c r="C451" s="2"/>
      <c r="D451" s="2"/>
      <c r="E451" s="2"/>
      <c r="F451" s="2"/>
      <c r="G451" s="2"/>
      <c r="H451" s="2"/>
      <c r="I451" s="2"/>
      <c r="J451" s="2"/>
      <c r="K451" s="2"/>
    </row>
    <row r="452" customFormat="false" ht="15.75" hidden="false" customHeight="false" outlineLevel="0" collapsed="false">
      <c r="A452" s="2"/>
      <c r="B452" s="2"/>
      <c r="C452" s="2"/>
      <c r="D452" s="2"/>
      <c r="E452" s="2"/>
      <c r="F452" s="2"/>
      <c r="G452" s="2"/>
      <c r="H452" s="2"/>
      <c r="I452" s="2"/>
      <c r="J452" s="2"/>
      <c r="K452" s="2"/>
    </row>
    <row r="453" customFormat="false" ht="15.75" hidden="false" customHeight="false" outlineLevel="0" collapsed="false">
      <c r="A453" s="2"/>
      <c r="B453" s="2"/>
      <c r="C453" s="2"/>
      <c r="D453" s="2"/>
      <c r="E453" s="2"/>
      <c r="F453" s="2"/>
      <c r="G453" s="2"/>
      <c r="H453" s="2"/>
      <c r="I453" s="2"/>
      <c r="J453" s="2"/>
      <c r="K453" s="2"/>
    </row>
    <row r="454" customFormat="false" ht="15.75" hidden="false" customHeight="false" outlineLevel="0" collapsed="false">
      <c r="A454" s="2"/>
      <c r="B454" s="2"/>
      <c r="C454" s="2"/>
      <c r="D454" s="2"/>
      <c r="E454" s="2"/>
      <c r="F454" s="2"/>
      <c r="G454" s="2"/>
      <c r="H454" s="2"/>
      <c r="I454" s="2"/>
      <c r="J454" s="2"/>
      <c r="K454" s="2"/>
    </row>
    <row r="455" customFormat="false" ht="15.75" hidden="false" customHeight="false" outlineLevel="0" collapsed="false">
      <c r="A455" s="2"/>
      <c r="B455" s="2"/>
      <c r="C455" s="2"/>
      <c r="D455" s="2"/>
      <c r="E455" s="2"/>
      <c r="F455" s="2"/>
      <c r="G455" s="2"/>
      <c r="H455" s="2"/>
      <c r="I455" s="2"/>
      <c r="J455" s="2"/>
      <c r="K455" s="2"/>
    </row>
    <row r="456" customFormat="false" ht="15.75" hidden="false" customHeight="false" outlineLevel="0" collapsed="false">
      <c r="A456" s="2"/>
      <c r="B456" s="2"/>
      <c r="C456" s="2"/>
      <c r="D456" s="2"/>
      <c r="E456" s="2"/>
      <c r="F456" s="2"/>
      <c r="G456" s="2"/>
      <c r="H456" s="2"/>
      <c r="I456" s="2"/>
      <c r="J456" s="2"/>
      <c r="K456" s="2"/>
    </row>
    <row r="457" customFormat="false" ht="15.75" hidden="false" customHeight="false" outlineLevel="0" collapsed="false">
      <c r="A457" s="2"/>
      <c r="B457" s="2"/>
      <c r="C457" s="2"/>
      <c r="D457" s="2"/>
      <c r="E457" s="2"/>
      <c r="F457" s="2"/>
      <c r="G457" s="2"/>
      <c r="H457" s="2"/>
      <c r="I457" s="2"/>
      <c r="J457" s="2"/>
      <c r="K457" s="2"/>
    </row>
    <row r="458" customFormat="false" ht="15.75" hidden="false" customHeight="false" outlineLevel="0" collapsed="false">
      <c r="A458" s="2"/>
      <c r="B458" s="2"/>
      <c r="C458" s="2"/>
      <c r="D458" s="2"/>
      <c r="E458" s="2"/>
      <c r="F458" s="2"/>
      <c r="G458" s="2"/>
      <c r="H458" s="2"/>
      <c r="I458" s="2"/>
      <c r="J458" s="2"/>
      <c r="K458" s="2"/>
    </row>
    <row r="459" customFormat="false" ht="15.75" hidden="false" customHeight="false" outlineLevel="0" collapsed="false">
      <c r="A459" s="2"/>
      <c r="B459" s="2"/>
      <c r="C459" s="2"/>
      <c r="D459" s="2"/>
      <c r="E459" s="2"/>
      <c r="F459" s="2"/>
      <c r="G459" s="2"/>
      <c r="H459" s="2"/>
      <c r="I459" s="2"/>
      <c r="J459" s="2"/>
      <c r="K459" s="2"/>
    </row>
    <row r="460" customFormat="false" ht="15.75" hidden="false" customHeight="false" outlineLevel="0" collapsed="false">
      <c r="A460" s="2"/>
      <c r="B460" s="2"/>
      <c r="C460" s="2"/>
      <c r="D460" s="2"/>
      <c r="E460" s="2"/>
      <c r="F460" s="2"/>
      <c r="G460" s="2"/>
      <c r="H460" s="2"/>
      <c r="I460" s="2"/>
      <c r="J460" s="2"/>
      <c r="K460" s="2"/>
    </row>
    <row r="461" customFormat="false" ht="15.75" hidden="false" customHeight="false" outlineLevel="0" collapsed="false">
      <c r="A461" s="2"/>
      <c r="B461" s="2"/>
      <c r="C461" s="2"/>
      <c r="D461" s="2"/>
      <c r="E461" s="2"/>
      <c r="F461" s="2"/>
      <c r="G461" s="2"/>
      <c r="H461" s="2"/>
      <c r="I461" s="2"/>
      <c r="J461" s="2"/>
      <c r="K461" s="2"/>
    </row>
    <row r="462" customFormat="false" ht="15.75" hidden="false" customHeight="false" outlineLevel="0" collapsed="false">
      <c r="A462" s="2"/>
      <c r="B462" s="2"/>
      <c r="C462" s="2"/>
      <c r="D462" s="2"/>
      <c r="E462" s="2"/>
      <c r="F462" s="2"/>
      <c r="G462" s="2"/>
      <c r="H462" s="2"/>
      <c r="I462" s="2"/>
      <c r="J462" s="2"/>
      <c r="K462" s="2"/>
    </row>
    <row r="463" customFormat="false" ht="15.75" hidden="false" customHeight="false" outlineLevel="0" collapsed="false">
      <c r="A463" s="2"/>
      <c r="B463" s="2"/>
      <c r="C463" s="2"/>
      <c r="D463" s="2"/>
      <c r="E463" s="2"/>
      <c r="F463" s="2"/>
      <c r="G463" s="2"/>
      <c r="H463" s="2"/>
      <c r="I463" s="2"/>
      <c r="J463" s="2"/>
      <c r="K463" s="2"/>
    </row>
    <row r="464" customFormat="false" ht="15.75" hidden="false" customHeight="false" outlineLevel="0" collapsed="false">
      <c r="A464" s="2"/>
      <c r="B464" s="2"/>
      <c r="C464" s="2"/>
      <c r="D464" s="2"/>
      <c r="E464" s="2"/>
      <c r="F464" s="2"/>
      <c r="G464" s="2"/>
      <c r="H464" s="2"/>
      <c r="I464" s="2"/>
      <c r="J464" s="2"/>
      <c r="K464" s="2"/>
    </row>
    <row r="465" customFormat="false" ht="15.75" hidden="false" customHeight="false" outlineLevel="0" collapsed="false">
      <c r="A465" s="2"/>
      <c r="B465" s="2"/>
      <c r="C465" s="2"/>
      <c r="D465" s="2"/>
      <c r="E465" s="2"/>
      <c r="F465" s="2"/>
      <c r="G465" s="2"/>
      <c r="H465" s="2"/>
      <c r="I465" s="2"/>
      <c r="J465" s="2"/>
      <c r="K465" s="2"/>
    </row>
    <row r="466" customFormat="false" ht="15.75" hidden="false" customHeight="false" outlineLevel="0" collapsed="false">
      <c r="A466" s="2"/>
      <c r="B466" s="2"/>
      <c r="C466" s="2"/>
      <c r="D466" s="2"/>
      <c r="E466" s="2"/>
      <c r="F466" s="2"/>
      <c r="G466" s="2"/>
      <c r="H466" s="2"/>
      <c r="I466" s="2"/>
      <c r="J466" s="2"/>
      <c r="K466" s="2"/>
    </row>
    <row r="467" customFormat="false" ht="15.75" hidden="false" customHeight="false" outlineLevel="0" collapsed="false">
      <c r="A467" s="2"/>
      <c r="B467" s="2"/>
      <c r="C467" s="2"/>
      <c r="D467" s="2"/>
      <c r="E467" s="2"/>
      <c r="F467" s="2"/>
      <c r="G467" s="2"/>
      <c r="H467" s="2"/>
      <c r="I467" s="2"/>
      <c r="J467" s="2"/>
      <c r="K467" s="2"/>
    </row>
    <row r="468" customFormat="false" ht="15.75" hidden="false" customHeight="false" outlineLevel="0" collapsed="false">
      <c r="A468" s="2"/>
      <c r="B468" s="2"/>
      <c r="C468" s="2"/>
      <c r="D468" s="2"/>
      <c r="E468" s="2"/>
      <c r="F468" s="2"/>
      <c r="G468" s="2"/>
      <c r="H468" s="2"/>
      <c r="I468" s="2"/>
      <c r="J468" s="2"/>
      <c r="K468" s="2"/>
    </row>
    <row r="469" customFormat="false" ht="15.75" hidden="false" customHeight="false" outlineLevel="0" collapsed="false">
      <c r="A469" s="2"/>
      <c r="B469" s="2"/>
      <c r="C469" s="2"/>
      <c r="D469" s="2"/>
      <c r="E469" s="2"/>
      <c r="F469" s="2"/>
      <c r="G469" s="2"/>
      <c r="H469" s="2"/>
      <c r="I469" s="2"/>
      <c r="J469" s="2"/>
      <c r="K469" s="2"/>
    </row>
    <row r="470" customFormat="false" ht="15.75" hidden="false" customHeight="false" outlineLevel="0" collapsed="false">
      <c r="A470" s="2"/>
      <c r="B470" s="2"/>
      <c r="C470" s="2"/>
      <c r="D470" s="2"/>
      <c r="E470" s="2"/>
      <c r="F470" s="2"/>
      <c r="G470" s="2"/>
      <c r="H470" s="2"/>
      <c r="I470" s="2"/>
      <c r="J470" s="2"/>
      <c r="K470" s="2"/>
    </row>
    <row r="471" customFormat="false" ht="15.75" hidden="false" customHeight="false" outlineLevel="0" collapsed="false">
      <c r="A471" s="2"/>
      <c r="B471" s="2"/>
      <c r="C471" s="2"/>
      <c r="D471" s="2"/>
      <c r="E471" s="2"/>
      <c r="F471" s="2"/>
      <c r="G471" s="2"/>
      <c r="H471" s="2"/>
      <c r="I471" s="2"/>
      <c r="J471" s="2"/>
      <c r="K471" s="2"/>
    </row>
    <row r="472" customFormat="false" ht="15.75" hidden="false" customHeight="false" outlineLevel="0" collapsed="false">
      <c r="A472" s="2"/>
      <c r="B472" s="2"/>
      <c r="C472" s="2"/>
      <c r="D472" s="2"/>
      <c r="E472" s="2"/>
      <c r="F472" s="2"/>
      <c r="G472" s="2"/>
      <c r="H472" s="2"/>
      <c r="I472" s="2"/>
      <c r="J472" s="2"/>
      <c r="K472" s="2"/>
    </row>
    <row r="473" customFormat="false" ht="15.75" hidden="false" customHeight="false" outlineLevel="0" collapsed="false">
      <c r="A473" s="2"/>
      <c r="B473" s="2"/>
      <c r="C473" s="2"/>
      <c r="D473" s="2"/>
      <c r="E473" s="2"/>
      <c r="F473" s="2"/>
      <c r="G473" s="2"/>
      <c r="H473" s="2"/>
      <c r="I473" s="2"/>
      <c r="J473" s="2"/>
      <c r="K473" s="2"/>
    </row>
    <row r="474" customFormat="false" ht="15.75" hidden="false" customHeight="false" outlineLevel="0" collapsed="false">
      <c r="A474" s="2"/>
      <c r="B474" s="2"/>
      <c r="C474" s="2"/>
      <c r="D474" s="2"/>
      <c r="E474" s="2"/>
      <c r="F474" s="2"/>
      <c r="G474" s="2"/>
      <c r="H474" s="2"/>
      <c r="I474" s="2"/>
      <c r="J474" s="2"/>
      <c r="K474" s="2"/>
    </row>
    <row r="475" customFormat="false" ht="15.75" hidden="false" customHeight="false" outlineLevel="0" collapsed="false">
      <c r="A475" s="2"/>
      <c r="B475" s="2"/>
      <c r="C475" s="2"/>
      <c r="D475" s="2"/>
      <c r="E475" s="2"/>
      <c r="F475" s="2"/>
      <c r="G475" s="2"/>
      <c r="H475" s="2"/>
      <c r="I475" s="2"/>
      <c r="J475" s="2"/>
      <c r="K475" s="2"/>
    </row>
    <row r="476" customFormat="false" ht="15.75" hidden="false" customHeight="false" outlineLevel="0" collapsed="false">
      <c r="A476" s="2"/>
      <c r="B476" s="2"/>
      <c r="C476" s="2"/>
      <c r="D476" s="2"/>
      <c r="E476" s="2"/>
      <c r="F476" s="2"/>
      <c r="G476" s="2"/>
      <c r="H476" s="2"/>
      <c r="I476" s="2"/>
      <c r="J476" s="2"/>
      <c r="K476" s="2"/>
    </row>
    <row r="477" customFormat="false" ht="15.75" hidden="false" customHeight="false" outlineLevel="0" collapsed="false">
      <c r="A477" s="2"/>
      <c r="B477" s="2"/>
      <c r="C477" s="2"/>
      <c r="D477" s="2"/>
      <c r="E477" s="2"/>
      <c r="F477" s="2"/>
      <c r="G477" s="2"/>
      <c r="H477" s="2"/>
      <c r="I477" s="2"/>
      <c r="J477" s="2"/>
      <c r="K477" s="2"/>
    </row>
    <row r="478" customFormat="false" ht="15.75" hidden="false" customHeight="false" outlineLevel="0" collapsed="false">
      <c r="A478" s="2"/>
      <c r="B478" s="2"/>
      <c r="C478" s="2"/>
      <c r="D478" s="2"/>
      <c r="E478" s="2"/>
      <c r="F478" s="2"/>
      <c r="G478" s="2"/>
      <c r="H478" s="2"/>
      <c r="I478" s="2"/>
      <c r="J478" s="2"/>
      <c r="K478" s="2"/>
    </row>
    <row r="479" customFormat="false" ht="15.75" hidden="false" customHeight="false" outlineLevel="0" collapsed="false">
      <c r="A479" s="2"/>
      <c r="B479" s="2"/>
      <c r="C479" s="2"/>
      <c r="D479" s="2"/>
      <c r="E479" s="2"/>
      <c r="F479" s="2"/>
      <c r="G479" s="2"/>
      <c r="H479" s="2"/>
      <c r="I479" s="2"/>
      <c r="J479" s="2"/>
      <c r="K479" s="2"/>
    </row>
    <row r="480" customFormat="false" ht="15.75" hidden="false" customHeight="false" outlineLevel="0" collapsed="false">
      <c r="A480" s="2"/>
      <c r="B480" s="2"/>
      <c r="C480" s="2"/>
      <c r="D480" s="2"/>
      <c r="E480" s="2"/>
      <c r="F480" s="2"/>
      <c r="G480" s="2"/>
      <c r="H480" s="2"/>
      <c r="I480" s="2"/>
      <c r="J480" s="2"/>
      <c r="K480" s="2"/>
    </row>
    <row r="481" customFormat="false" ht="15.75" hidden="false" customHeight="false" outlineLevel="0" collapsed="false">
      <c r="A481" s="2"/>
      <c r="B481" s="2"/>
      <c r="C481" s="2"/>
      <c r="D481" s="2"/>
      <c r="E481" s="2"/>
      <c r="F481" s="2"/>
      <c r="G481" s="2"/>
      <c r="H481" s="2"/>
      <c r="I481" s="2"/>
      <c r="J481" s="2"/>
      <c r="K481" s="2"/>
    </row>
    <row r="482" customFormat="false" ht="15.75" hidden="false" customHeight="false" outlineLevel="0" collapsed="false">
      <c r="A482" s="2"/>
      <c r="B482" s="2"/>
      <c r="C482" s="2"/>
      <c r="D482" s="2"/>
      <c r="E482" s="2"/>
      <c r="F482" s="2"/>
      <c r="G482" s="2"/>
      <c r="H482" s="2"/>
      <c r="I482" s="2"/>
      <c r="J482" s="2"/>
      <c r="K482" s="2"/>
    </row>
    <row r="483" customFormat="false" ht="15.75" hidden="false" customHeight="false" outlineLevel="0" collapsed="false">
      <c r="A483" s="2"/>
      <c r="B483" s="2"/>
      <c r="C483" s="2"/>
      <c r="D483" s="2"/>
      <c r="E483" s="2"/>
      <c r="F483" s="2"/>
      <c r="G483" s="2"/>
      <c r="H483" s="2"/>
      <c r="I483" s="2"/>
      <c r="J483" s="2"/>
      <c r="K483" s="2"/>
    </row>
    <row r="484" customFormat="false" ht="15.75" hidden="false" customHeight="false" outlineLevel="0" collapsed="false">
      <c r="A484" s="2"/>
      <c r="B484" s="2"/>
      <c r="C484" s="2"/>
      <c r="D484" s="2"/>
      <c r="E484" s="2"/>
      <c r="F484" s="2"/>
      <c r="G484" s="2"/>
      <c r="H484" s="2"/>
      <c r="I484" s="2"/>
      <c r="J484" s="2"/>
      <c r="K484" s="2"/>
    </row>
    <row r="485" customFormat="false" ht="15.75" hidden="false" customHeight="false" outlineLevel="0" collapsed="false">
      <c r="A485" s="2"/>
      <c r="B485" s="2"/>
      <c r="C485" s="2"/>
      <c r="D485" s="2"/>
      <c r="E485" s="2"/>
      <c r="F485" s="2"/>
      <c r="G485" s="2"/>
      <c r="H485" s="2"/>
      <c r="I485" s="2"/>
      <c r="J485" s="2"/>
      <c r="K485" s="2"/>
    </row>
    <row r="486" customFormat="false" ht="15.75" hidden="false" customHeight="false" outlineLevel="0" collapsed="false">
      <c r="A486" s="2"/>
      <c r="B486" s="2"/>
      <c r="C486" s="2"/>
      <c r="D486" s="2"/>
      <c r="E486" s="2"/>
      <c r="F486" s="2"/>
      <c r="G486" s="2"/>
      <c r="H486" s="2"/>
      <c r="I486" s="2"/>
      <c r="J486" s="2"/>
      <c r="K486" s="2"/>
    </row>
    <row r="487" customFormat="false" ht="15.75" hidden="false" customHeight="false" outlineLevel="0" collapsed="false">
      <c r="A487" s="2"/>
      <c r="B487" s="2"/>
      <c r="C487" s="2"/>
      <c r="D487" s="2"/>
      <c r="E487" s="2"/>
      <c r="F487" s="2"/>
      <c r="G487" s="2"/>
      <c r="H487" s="2"/>
      <c r="I487" s="2"/>
      <c r="J487" s="2"/>
      <c r="K487" s="2"/>
    </row>
    <row r="488" customFormat="false" ht="15.75" hidden="false" customHeight="false" outlineLevel="0" collapsed="false">
      <c r="A488" s="2"/>
      <c r="B488" s="2"/>
      <c r="C488" s="2"/>
      <c r="D488" s="2"/>
      <c r="E488" s="2"/>
      <c r="F488" s="2"/>
      <c r="G488" s="2"/>
      <c r="H488" s="2"/>
      <c r="I488" s="2"/>
      <c r="J488" s="2"/>
      <c r="K488" s="2"/>
    </row>
    <row r="489" customFormat="false" ht="15.75" hidden="false" customHeight="false" outlineLevel="0" collapsed="false">
      <c r="A489" s="2"/>
      <c r="B489" s="2"/>
      <c r="C489" s="2"/>
      <c r="D489" s="2"/>
      <c r="E489" s="2"/>
      <c r="F489" s="2"/>
      <c r="G489" s="2"/>
      <c r="H489" s="2"/>
      <c r="I489" s="2"/>
      <c r="J489" s="2"/>
      <c r="K489" s="2"/>
    </row>
    <row r="490" customFormat="false" ht="15.75" hidden="false" customHeight="false" outlineLevel="0" collapsed="false">
      <c r="A490" s="2"/>
      <c r="B490" s="2"/>
      <c r="C490" s="2"/>
      <c r="D490" s="2"/>
      <c r="E490" s="2"/>
      <c r="F490" s="2"/>
      <c r="G490" s="2"/>
      <c r="H490" s="2"/>
      <c r="I490" s="2"/>
      <c r="J490" s="2"/>
      <c r="K490" s="2"/>
    </row>
    <row r="491" customFormat="false" ht="15.75" hidden="false" customHeight="false" outlineLevel="0" collapsed="false">
      <c r="A491" s="2"/>
      <c r="B491" s="2"/>
      <c r="C491" s="2"/>
      <c r="D491" s="2"/>
      <c r="E491" s="2"/>
      <c r="F491" s="2"/>
      <c r="G491" s="2"/>
      <c r="H491" s="2"/>
      <c r="I491" s="2"/>
      <c r="J491" s="2"/>
      <c r="K491" s="2"/>
    </row>
    <row r="492" customFormat="false" ht="15.75" hidden="false" customHeight="false" outlineLevel="0" collapsed="false">
      <c r="A492" s="2"/>
      <c r="B492" s="2"/>
      <c r="C492" s="2"/>
      <c r="D492" s="2"/>
      <c r="E492" s="2"/>
      <c r="F492" s="2"/>
      <c r="G492" s="2"/>
      <c r="H492" s="2"/>
      <c r="I492" s="2"/>
      <c r="J492" s="2"/>
      <c r="K492" s="2"/>
    </row>
    <row r="493" customFormat="false" ht="15.75" hidden="false" customHeight="false" outlineLevel="0" collapsed="false">
      <c r="A493" s="2"/>
      <c r="B493" s="2"/>
      <c r="C493" s="2"/>
      <c r="D493" s="2"/>
      <c r="E493" s="2"/>
      <c r="F493" s="2"/>
      <c r="G493" s="2"/>
      <c r="H493" s="2"/>
      <c r="I493" s="2"/>
      <c r="J493" s="2"/>
      <c r="K493" s="2"/>
    </row>
    <row r="494" customFormat="false" ht="15.75" hidden="false" customHeight="false" outlineLevel="0" collapsed="false">
      <c r="A494" s="2"/>
      <c r="B494" s="2"/>
      <c r="C494" s="2"/>
      <c r="D494" s="2"/>
      <c r="E494" s="2"/>
      <c r="F494" s="2"/>
      <c r="G494" s="2"/>
      <c r="H494" s="2"/>
      <c r="I494" s="2"/>
      <c r="J494" s="2"/>
      <c r="K494" s="2"/>
    </row>
    <row r="495" customFormat="false" ht="15.75" hidden="false" customHeight="false" outlineLevel="0" collapsed="false">
      <c r="A495" s="2"/>
      <c r="B495" s="2"/>
      <c r="C495" s="2"/>
      <c r="D495" s="2"/>
      <c r="E495" s="2"/>
      <c r="F495" s="2"/>
      <c r="G495" s="2"/>
      <c r="H495" s="2"/>
      <c r="I495" s="2"/>
      <c r="J495" s="2"/>
      <c r="K495" s="2"/>
    </row>
    <row r="496" customFormat="false" ht="15.75" hidden="false" customHeight="false" outlineLevel="0" collapsed="false">
      <c r="A496" s="2"/>
      <c r="B496" s="2"/>
      <c r="C496" s="2"/>
      <c r="D496" s="2"/>
      <c r="E496" s="2"/>
      <c r="F496" s="2"/>
      <c r="G496" s="2"/>
      <c r="H496" s="2"/>
      <c r="I496" s="2"/>
      <c r="J496" s="2"/>
      <c r="K496" s="2"/>
    </row>
    <row r="497" customFormat="false" ht="15.75" hidden="false" customHeight="false" outlineLevel="0" collapsed="false">
      <c r="A497" s="2"/>
      <c r="B497" s="2"/>
      <c r="C497" s="2"/>
      <c r="D497" s="2"/>
      <c r="E497" s="2"/>
      <c r="F497" s="2"/>
      <c r="G497" s="2"/>
      <c r="H497" s="2"/>
      <c r="I497" s="2"/>
      <c r="J497" s="2"/>
      <c r="K497" s="2"/>
    </row>
    <row r="498" customFormat="false" ht="15.75" hidden="false" customHeight="false" outlineLevel="0" collapsed="false">
      <c r="A498" s="2"/>
      <c r="B498" s="2"/>
      <c r="C498" s="2"/>
      <c r="D498" s="2"/>
      <c r="E498" s="2"/>
      <c r="F498" s="2"/>
      <c r="G498" s="2"/>
      <c r="H498" s="2"/>
      <c r="I498" s="2"/>
      <c r="J498" s="2"/>
      <c r="K498" s="2"/>
    </row>
    <row r="499" customFormat="false" ht="15.75" hidden="false" customHeight="false" outlineLevel="0" collapsed="false">
      <c r="A499" s="2"/>
      <c r="B499" s="2"/>
      <c r="C499" s="2"/>
      <c r="D499" s="2"/>
      <c r="E499" s="2"/>
      <c r="F499" s="2"/>
      <c r="G499" s="2"/>
      <c r="H499" s="2"/>
      <c r="I499" s="2"/>
      <c r="J499" s="2"/>
      <c r="K499" s="2"/>
    </row>
    <row r="500" customFormat="false" ht="15.75" hidden="false" customHeight="false" outlineLevel="0" collapsed="false">
      <c r="A500" s="2"/>
      <c r="B500" s="2"/>
      <c r="C500" s="2"/>
      <c r="D500" s="2"/>
      <c r="E500" s="2"/>
      <c r="F500" s="2"/>
      <c r="G500" s="2"/>
      <c r="H500" s="2"/>
      <c r="I500" s="2"/>
      <c r="J500" s="2"/>
      <c r="K500" s="2"/>
    </row>
    <row r="501" customFormat="false" ht="15.75" hidden="false" customHeight="false" outlineLevel="0" collapsed="false">
      <c r="A501" s="2"/>
      <c r="B501" s="2"/>
      <c r="C501" s="2"/>
      <c r="D501" s="2"/>
      <c r="E501" s="2"/>
      <c r="F501" s="2"/>
      <c r="G501" s="2"/>
      <c r="H501" s="2"/>
      <c r="I501" s="2"/>
      <c r="J501" s="2"/>
      <c r="K501" s="2"/>
    </row>
    <row r="502" customFormat="false" ht="15.75" hidden="false" customHeight="false" outlineLevel="0" collapsed="false">
      <c r="A502" s="2"/>
      <c r="B502" s="2"/>
      <c r="C502" s="2"/>
      <c r="D502" s="2"/>
      <c r="E502" s="2"/>
      <c r="F502" s="2"/>
      <c r="G502" s="2"/>
      <c r="H502" s="2"/>
      <c r="I502" s="2"/>
      <c r="J502" s="2"/>
      <c r="K502" s="2"/>
    </row>
    <row r="503" customFormat="false" ht="15.75" hidden="false" customHeight="false" outlineLevel="0" collapsed="false">
      <c r="A503" s="2"/>
      <c r="B503" s="2"/>
      <c r="C503" s="2"/>
      <c r="D503" s="2"/>
      <c r="E503" s="2"/>
      <c r="F503" s="2"/>
      <c r="G503" s="2"/>
      <c r="H503" s="2"/>
      <c r="I503" s="2"/>
      <c r="J503" s="2"/>
      <c r="K503" s="2"/>
    </row>
    <row r="504" customFormat="false" ht="15.75" hidden="false" customHeight="false" outlineLevel="0" collapsed="false">
      <c r="A504" s="2"/>
      <c r="B504" s="2"/>
      <c r="C504" s="2"/>
      <c r="D504" s="2"/>
      <c r="E504" s="2"/>
      <c r="F504" s="2"/>
      <c r="G504" s="2"/>
      <c r="H504" s="2"/>
      <c r="I504" s="2"/>
      <c r="J504" s="2"/>
      <c r="K504" s="2"/>
    </row>
    <row r="505" customFormat="false" ht="15.75" hidden="false" customHeight="false" outlineLevel="0" collapsed="false">
      <c r="A505" s="2"/>
      <c r="B505" s="2"/>
      <c r="C505" s="2"/>
      <c r="D505" s="2"/>
      <c r="E505" s="2"/>
      <c r="F505" s="2"/>
      <c r="G505" s="2"/>
      <c r="H505" s="2"/>
      <c r="I505" s="2"/>
      <c r="J505" s="2"/>
      <c r="K505" s="2"/>
    </row>
    <row r="506" customFormat="false" ht="15.75" hidden="false" customHeight="false" outlineLevel="0" collapsed="false">
      <c r="A506" s="2"/>
      <c r="B506" s="2"/>
      <c r="C506" s="2"/>
      <c r="D506" s="2"/>
      <c r="E506" s="2"/>
      <c r="F506" s="2"/>
      <c r="G506" s="2"/>
      <c r="H506" s="2"/>
      <c r="I506" s="2"/>
      <c r="J506" s="2"/>
      <c r="K506" s="2"/>
    </row>
    <row r="507" customFormat="false" ht="15.75" hidden="false" customHeight="false" outlineLevel="0" collapsed="false">
      <c r="A507" s="2"/>
      <c r="B507" s="2"/>
      <c r="C507" s="2"/>
      <c r="D507" s="2"/>
      <c r="E507" s="2"/>
      <c r="F507" s="2"/>
      <c r="G507" s="2"/>
      <c r="H507" s="2"/>
      <c r="I507" s="2"/>
      <c r="J507" s="2"/>
      <c r="K507" s="2"/>
    </row>
    <row r="508" customFormat="false" ht="15.75" hidden="false" customHeight="false" outlineLevel="0" collapsed="false">
      <c r="A508" s="2"/>
      <c r="B508" s="2"/>
      <c r="C508" s="2"/>
      <c r="D508" s="2"/>
      <c r="E508" s="2"/>
      <c r="F508" s="2"/>
      <c r="G508" s="2"/>
      <c r="H508" s="2"/>
      <c r="I508" s="2"/>
      <c r="J508" s="2"/>
      <c r="K508" s="2"/>
    </row>
    <row r="509" customFormat="false" ht="15.75" hidden="false" customHeight="false" outlineLevel="0" collapsed="false">
      <c r="A509" s="2"/>
      <c r="B509" s="2"/>
      <c r="C509" s="2"/>
      <c r="D509" s="2"/>
      <c r="E509" s="2"/>
      <c r="F509" s="2"/>
      <c r="G509" s="2"/>
      <c r="H509" s="2"/>
      <c r="I509" s="2"/>
      <c r="J509" s="2"/>
      <c r="K509" s="2"/>
    </row>
    <row r="510" customFormat="false" ht="15.75" hidden="false" customHeight="false" outlineLevel="0" collapsed="false">
      <c r="A510" s="2"/>
      <c r="B510" s="2"/>
      <c r="C510" s="2"/>
      <c r="D510" s="2"/>
      <c r="E510" s="2"/>
      <c r="F510" s="2"/>
      <c r="G510" s="2"/>
      <c r="H510" s="2"/>
      <c r="I510" s="2"/>
      <c r="J510" s="2"/>
      <c r="K510" s="2"/>
    </row>
    <row r="511" customFormat="false" ht="15.75" hidden="false" customHeight="false" outlineLevel="0" collapsed="false">
      <c r="A511" s="2"/>
      <c r="B511" s="2"/>
      <c r="C511" s="2"/>
      <c r="D511" s="2"/>
      <c r="E511" s="2"/>
      <c r="F511" s="2"/>
      <c r="G511" s="2"/>
      <c r="H511" s="2"/>
      <c r="I511" s="2"/>
      <c r="J511" s="2"/>
      <c r="K511" s="2"/>
    </row>
    <row r="512" customFormat="false" ht="15.75" hidden="false" customHeight="false" outlineLevel="0" collapsed="false">
      <c r="A512" s="2"/>
      <c r="B512" s="2"/>
      <c r="C512" s="2"/>
      <c r="D512" s="2"/>
      <c r="E512" s="2"/>
      <c r="F512" s="2"/>
      <c r="G512" s="2"/>
      <c r="H512" s="2"/>
      <c r="I512" s="2"/>
      <c r="J512" s="2"/>
      <c r="K512" s="2"/>
    </row>
    <row r="513" customFormat="false" ht="15.75" hidden="false" customHeight="false" outlineLevel="0" collapsed="false">
      <c r="A513" s="2"/>
      <c r="B513" s="2"/>
      <c r="C513" s="2"/>
      <c r="D513" s="2"/>
      <c r="E513" s="2"/>
      <c r="F513" s="2"/>
      <c r="G513" s="2"/>
      <c r="H513" s="2"/>
      <c r="I513" s="2"/>
      <c r="J513" s="2"/>
      <c r="K513" s="2"/>
    </row>
    <row r="514" customFormat="false" ht="15.75" hidden="false" customHeight="false" outlineLevel="0" collapsed="false">
      <c r="A514" s="2"/>
      <c r="B514" s="2"/>
      <c r="C514" s="2"/>
      <c r="D514" s="2"/>
      <c r="E514" s="2"/>
      <c r="F514" s="2"/>
      <c r="G514" s="2"/>
      <c r="H514" s="2"/>
      <c r="I514" s="2"/>
      <c r="J514" s="2"/>
      <c r="K514" s="2"/>
    </row>
    <row r="515" customFormat="false" ht="15.75" hidden="false" customHeight="false" outlineLevel="0" collapsed="false">
      <c r="A515" s="2"/>
      <c r="B515" s="2"/>
      <c r="C515" s="2"/>
      <c r="D515" s="2"/>
      <c r="E515" s="2"/>
      <c r="F515" s="2"/>
      <c r="G515" s="2"/>
      <c r="H515" s="2"/>
      <c r="I515" s="2"/>
      <c r="J515" s="2"/>
      <c r="K515" s="2"/>
    </row>
    <row r="516" customFormat="false" ht="15.75" hidden="false" customHeight="false" outlineLevel="0" collapsed="false">
      <c r="A516" s="2"/>
      <c r="B516" s="2"/>
      <c r="C516" s="2"/>
      <c r="D516" s="2"/>
      <c r="E516" s="2"/>
      <c r="F516" s="2"/>
      <c r="G516" s="2"/>
      <c r="H516" s="2"/>
      <c r="I516" s="2"/>
      <c r="J516" s="2"/>
      <c r="K516" s="2"/>
    </row>
    <row r="517" customFormat="false" ht="15.75" hidden="false" customHeight="false" outlineLevel="0" collapsed="false">
      <c r="A517" s="2"/>
      <c r="B517" s="2"/>
      <c r="C517" s="2"/>
      <c r="D517" s="2"/>
      <c r="E517" s="2"/>
      <c r="F517" s="2"/>
      <c r="G517" s="2"/>
      <c r="H517" s="2"/>
      <c r="I517" s="2"/>
      <c r="J517" s="2"/>
      <c r="K517" s="2"/>
    </row>
    <row r="518" customFormat="false" ht="15.75" hidden="false" customHeight="false" outlineLevel="0" collapsed="false">
      <c r="A518" s="2"/>
      <c r="B518" s="2"/>
      <c r="C518" s="2"/>
      <c r="D518" s="2"/>
      <c r="E518" s="2"/>
      <c r="F518" s="2"/>
      <c r="G518" s="2"/>
      <c r="H518" s="2"/>
      <c r="I518" s="2"/>
      <c r="J518" s="2"/>
      <c r="K518" s="2"/>
    </row>
    <row r="519" customFormat="false" ht="15.75" hidden="false" customHeight="false" outlineLevel="0" collapsed="false">
      <c r="A519" s="2"/>
      <c r="B519" s="2"/>
      <c r="C519" s="2"/>
      <c r="D519" s="2"/>
      <c r="E519" s="2"/>
      <c r="F519" s="2"/>
      <c r="G519" s="2"/>
      <c r="H519" s="2"/>
      <c r="I519" s="2"/>
      <c r="J519" s="2"/>
      <c r="K519" s="2"/>
    </row>
    <row r="520" customFormat="false" ht="15.75" hidden="false" customHeight="false" outlineLevel="0" collapsed="false">
      <c r="A520" s="2"/>
      <c r="B520" s="2"/>
      <c r="C520" s="2"/>
      <c r="D520" s="2"/>
      <c r="E520" s="2"/>
      <c r="F520" s="2"/>
      <c r="G520" s="2"/>
      <c r="H520" s="2"/>
      <c r="I520" s="2"/>
      <c r="J520" s="2"/>
      <c r="K520" s="2"/>
    </row>
    <row r="521" customFormat="false" ht="15.75" hidden="false" customHeight="false" outlineLevel="0" collapsed="false">
      <c r="A521" s="2"/>
      <c r="B521" s="2"/>
      <c r="C521" s="2"/>
      <c r="D521" s="2"/>
      <c r="E521" s="2"/>
      <c r="F521" s="2"/>
      <c r="G521" s="2"/>
      <c r="H521" s="2"/>
      <c r="I521" s="2"/>
      <c r="J521" s="2"/>
      <c r="K521" s="2"/>
    </row>
    <row r="522" customFormat="false" ht="15.75" hidden="false" customHeight="false" outlineLevel="0" collapsed="false">
      <c r="A522" s="2"/>
      <c r="B522" s="2"/>
      <c r="C522" s="2"/>
      <c r="D522" s="2"/>
      <c r="E522" s="2"/>
      <c r="F522" s="2"/>
      <c r="G522" s="2"/>
      <c r="H522" s="2"/>
      <c r="I522" s="2"/>
      <c r="J522" s="2"/>
      <c r="K522" s="2"/>
    </row>
    <row r="523" customFormat="false" ht="15.75" hidden="false" customHeight="false" outlineLevel="0" collapsed="false">
      <c r="A523" s="2"/>
      <c r="B523" s="2"/>
      <c r="C523" s="2"/>
      <c r="D523" s="2"/>
      <c r="E523" s="2"/>
      <c r="F523" s="2"/>
      <c r="G523" s="2"/>
      <c r="H523" s="2"/>
      <c r="I523" s="2"/>
      <c r="J523" s="2"/>
      <c r="K523" s="2"/>
    </row>
    <row r="524" customFormat="false" ht="15.75" hidden="false" customHeight="false" outlineLevel="0" collapsed="false">
      <c r="A524" s="2"/>
      <c r="B524" s="2"/>
      <c r="C524" s="2"/>
      <c r="D524" s="2"/>
      <c r="E524" s="2"/>
      <c r="F524" s="2"/>
      <c r="G524" s="2"/>
      <c r="H524" s="2"/>
      <c r="I524" s="2"/>
      <c r="J524" s="2"/>
      <c r="K524" s="2"/>
    </row>
    <row r="525" customFormat="false" ht="15.75" hidden="false" customHeight="false" outlineLevel="0" collapsed="false">
      <c r="A525" s="2"/>
      <c r="B525" s="2"/>
      <c r="C525" s="2"/>
      <c r="D525" s="2"/>
      <c r="E525" s="2"/>
      <c r="F525" s="2"/>
      <c r="G525" s="2"/>
      <c r="H525" s="2"/>
      <c r="I525" s="2"/>
      <c r="J525" s="2"/>
      <c r="K525" s="2"/>
    </row>
    <row r="526" customFormat="false" ht="15.75" hidden="false" customHeight="false" outlineLevel="0" collapsed="false">
      <c r="A526" s="2"/>
      <c r="B526" s="2"/>
      <c r="C526" s="2"/>
      <c r="D526" s="2"/>
      <c r="E526" s="2"/>
      <c r="F526" s="2"/>
      <c r="G526" s="2"/>
      <c r="H526" s="2"/>
      <c r="I526" s="2"/>
      <c r="J526" s="2"/>
      <c r="K526" s="2"/>
    </row>
    <row r="527" customFormat="false" ht="15.75" hidden="false" customHeight="false" outlineLevel="0" collapsed="false">
      <c r="A527" s="2"/>
      <c r="B527" s="2"/>
      <c r="C527" s="2"/>
      <c r="D527" s="2"/>
      <c r="E527" s="2"/>
      <c r="F527" s="2"/>
      <c r="G527" s="2"/>
      <c r="H527" s="2"/>
      <c r="I527" s="2"/>
      <c r="J527" s="2"/>
      <c r="K527" s="2"/>
    </row>
    <row r="528" customFormat="false" ht="15.75" hidden="false" customHeight="false" outlineLevel="0" collapsed="false">
      <c r="A528" s="2"/>
      <c r="B528" s="2"/>
      <c r="C528" s="2"/>
      <c r="D528" s="2"/>
      <c r="E528" s="2"/>
      <c r="F528" s="2"/>
      <c r="G528" s="2"/>
      <c r="H528" s="2"/>
      <c r="I528" s="2"/>
      <c r="J528" s="2"/>
      <c r="K528" s="2"/>
    </row>
    <row r="529" customFormat="false" ht="15.75" hidden="false" customHeight="false" outlineLevel="0" collapsed="false">
      <c r="A529" s="2"/>
      <c r="B529" s="2"/>
      <c r="C529" s="2"/>
      <c r="D529" s="2"/>
      <c r="E529" s="2"/>
      <c r="F529" s="2"/>
      <c r="G529" s="2"/>
      <c r="H529" s="2"/>
      <c r="I529" s="2"/>
      <c r="J529" s="2"/>
      <c r="K529" s="2"/>
    </row>
    <row r="530" customFormat="false" ht="15.75" hidden="false" customHeight="false" outlineLevel="0" collapsed="false">
      <c r="A530" s="2"/>
      <c r="B530" s="2"/>
      <c r="C530" s="2"/>
      <c r="D530" s="2"/>
      <c r="E530" s="2"/>
      <c r="F530" s="2"/>
      <c r="G530" s="2"/>
      <c r="H530" s="2"/>
      <c r="I530" s="2"/>
      <c r="J530" s="2"/>
      <c r="K530" s="2"/>
    </row>
    <row r="531" customFormat="false" ht="15.75" hidden="false" customHeight="false" outlineLevel="0" collapsed="false">
      <c r="A531" s="2"/>
      <c r="B531" s="2"/>
      <c r="C531" s="2"/>
      <c r="D531" s="2"/>
      <c r="E531" s="2"/>
      <c r="F531" s="2"/>
      <c r="G531" s="2"/>
      <c r="H531" s="2"/>
      <c r="I531" s="2"/>
      <c r="J531" s="2"/>
      <c r="K531" s="2"/>
    </row>
    <row r="532" customFormat="false" ht="15.75" hidden="false" customHeight="false" outlineLevel="0" collapsed="false">
      <c r="A532" s="2"/>
      <c r="B532" s="2"/>
      <c r="C532" s="2"/>
      <c r="D532" s="2"/>
      <c r="E532" s="2"/>
      <c r="F532" s="2"/>
      <c r="G532" s="2"/>
      <c r="H532" s="2"/>
      <c r="I532" s="2"/>
      <c r="J532" s="2"/>
      <c r="K532" s="2"/>
    </row>
    <row r="533" customFormat="false" ht="15.75" hidden="false" customHeight="false" outlineLevel="0" collapsed="false">
      <c r="A533" s="2"/>
      <c r="B533" s="2"/>
      <c r="C533" s="2"/>
      <c r="D533" s="2"/>
      <c r="E533" s="2"/>
      <c r="F533" s="2"/>
      <c r="G533" s="2"/>
      <c r="H533" s="2"/>
      <c r="I533" s="2"/>
      <c r="J533" s="2"/>
      <c r="K533" s="2"/>
    </row>
    <row r="534" customFormat="false" ht="15.75" hidden="false" customHeight="false" outlineLevel="0" collapsed="false">
      <c r="A534" s="2"/>
      <c r="B534" s="2"/>
      <c r="C534" s="2"/>
      <c r="D534" s="2"/>
      <c r="E534" s="2"/>
      <c r="F534" s="2"/>
      <c r="G534" s="2"/>
      <c r="H534" s="2"/>
      <c r="I534" s="2"/>
      <c r="J534" s="2"/>
      <c r="K534" s="2"/>
    </row>
    <row r="535" customFormat="false" ht="15.75" hidden="false" customHeight="false" outlineLevel="0" collapsed="false">
      <c r="A535" s="2"/>
      <c r="B535" s="2"/>
      <c r="C535" s="2"/>
      <c r="D535" s="2"/>
      <c r="E535" s="2"/>
      <c r="F535" s="2"/>
      <c r="G535" s="2"/>
      <c r="H535" s="2"/>
      <c r="I535" s="2"/>
      <c r="J535" s="2"/>
      <c r="K535" s="2"/>
    </row>
    <row r="536" customFormat="false" ht="15.75" hidden="false" customHeight="false" outlineLevel="0" collapsed="false">
      <c r="A536" s="2"/>
      <c r="B536" s="2"/>
      <c r="C536" s="2"/>
      <c r="D536" s="2"/>
      <c r="E536" s="2"/>
      <c r="F536" s="2"/>
      <c r="G536" s="2"/>
      <c r="H536" s="2"/>
      <c r="I536" s="2"/>
      <c r="J536" s="2"/>
      <c r="K536" s="2"/>
    </row>
    <row r="537" customFormat="false" ht="15.75" hidden="false" customHeight="false" outlineLevel="0" collapsed="false">
      <c r="A537" s="2"/>
      <c r="B537" s="2"/>
      <c r="C537" s="2"/>
      <c r="D537" s="2"/>
      <c r="E537" s="2"/>
      <c r="F537" s="2"/>
      <c r="G537" s="2"/>
      <c r="H537" s="2"/>
      <c r="I537" s="2"/>
      <c r="J537" s="2"/>
      <c r="K537" s="2"/>
    </row>
    <row r="538" customFormat="false" ht="15.75" hidden="false" customHeight="false" outlineLevel="0" collapsed="false">
      <c r="A538" s="2"/>
      <c r="B538" s="2"/>
      <c r="C538" s="2"/>
      <c r="D538" s="2"/>
      <c r="E538" s="2"/>
      <c r="F538" s="2"/>
      <c r="G538" s="2"/>
      <c r="H538" s="2"/>
      <c r="I538" s="2"/>
      <c r="J538" s="2"/>
      <c r="K538" s="2"/>
    </row>
    <row r="539" customFormat="false" ht="15.75" hidden="false" customHeight="false" outlineLevel="0" collapsed="false">
      <c r="A539" s="2"/>
      <c r="B539" s="2"/>
      <c r="C539" s="2"/>
      <c r="D539" s="2"/>
      <c r="E539" s="2"/>
      <c r="F539" s="2"/>
      <c r="G539" s="2"/>
      <c r="H539" s="2"/>
      <c r="I539" s="2"/>
      <c r="J539" s="2"/>
      <c r="K539" s="2"/>
    </row>
    <row r="540" customFormat="false" ht="15.75" hidden="false" customHeight="false" outlineLevel="0" collapsed="false">
      <c r="A540" s="2"/>
      <c r="B540" s="2"/>
      <c r="C540" s="2"/>
      <c r="D540" s="2"/>
      <c r="E540" s="2"/>
      <c r="F540" s="2"/>
      <c r="G540" s="2"/>
      <c r="H540" s="2"/>
      <c r="I540" s="2"/>
      <c r="J540" s="2"/>
      <c r="K540" s="2"/>
    </row>
    <row r="541" customFormat="false" ht="15.75" hidden="false" customHeight="false" outlineLevel="0" collapsed="false">
      <c r="A541" s="2"/>
      <c r="B541" s="2"/>
      <c r="C541" s="2"/>
      <c r="D541" s="2"/>
      <c r="E541" s="2"/>
      <c r="F541" s="2"/>
      <c r="G541" s="2"/>
      <c r="H541" s="2"/>
      <c r="I541" s="2"/>
      <c r="J541" s="2"/>
      <c r="K541" s="2"/>
    </row>
    <row r="542" customFormat="false" ht="15.75" hidden="false" customHeight="false" outlineLevel="0" collapsed="false">
      <c r="A542" s="2"/>
      <c r="B542" s="2"/>
      <c r="C542" s="2"/>
      <c r="D542" s="2"/>
      <c r="E542" s="2"/>
      <c r="F542" s="2"/>
      <c r="G542" s="2"/>
      <c r="H542" s="2"/>
      <c r="I542" s="2"/>
      <c r="J542" s="2"/>
      <c r="K542" s="2"/>
    </row>
    <row r="543" customFormat="false" ht="15.75" hidden="false" customHeight="false" outlineLevel="0" collapsed="false">
      <c r="A543" s="2"/>
      <c r="B543" s="2"/>
      <c r="C543" s="2"/>
      <c r="D543" s="2"/>
      <c r="E543" s="2"/>
      <c r="F543" s="2"/>
      <c r="G543" s="2"/>
      <c r="H543" s="2"/>
      <c r="I543" s="2"/>
      <c r="J543" s="2"/>
      <c r="K543" s="2"/>
    </row>
    <row r="544" customFormat="false" ht="15.75" hidden="false" customHeight="false" outlineLevel="0" collapsed="false">
      <c r="A544" s="2"/>
      <c r="B544" s="2"/>
      <c r="C544" s="2"/>
      <c r="D544" s="2"/>
      <c r="E544" s="2"/>
      <c r="F544" s="2"/>
      <c r="G544" s="2"/>
      <c r="H544" s="2"/>
      <c r="I544" s="2"/>
      <c r="J544" s="2"/>
      <c r="K544" s="2"/>
    </row>
    <row r="545" customFormat="false" ht="15.75" hidden="false" customHeight="false" outlineLevel="0" collapsed="false">
      <c r="A545" s="2"/>
      <c r="B545" s="2"/>
      <c r="C545" s="2"/>
      <c r="D545" s="2"/>
      <c r="E545" s="2"/>
      <c r="F545" s="2"/>
      <c r="G545" s="2"/>
      <c r="H545" s="2"/>
      <c r="I545" s="2"/>
      <c r="J545" s="2"/>
      <c r="K545" s="2"/>
    </row>
    <row r="546" customFormat="false" ht="15.75" hidden="false" customHeight="false" outlineLevel="0" collapsed="false">
      <c r="A546" s="2"/>
      <c r="B546" s="2"/>
      <c r="C546" s="2"/>
      <c r="D546" s="2"/>
      <c r="E546" s="2"/>
      <c r="F546" s="2"/>
      <c r="G546" s="2"/>
      <c r="H546" s="2"/>
      <c r="I546" s="2"/>
      <c r="J546" s="2"/>
      <c r="K546" s="2"/>
    </row>
    <row r="547" customFormat="false" ht="15.75" hidden="false" customHeight="false" outlineLevel="0" collapsed="false">
      <c r="A547" s="2"/>
      <c r="B547" s="2"/>
      <c r="C547" s="2"/>
      <c r="D547" s="2"/>
      <c r="E547" s="2"/>
      <c r="F547" s="2"/>
      <c r="G547" s="2"/>
      <c r="H547" s="2"/>
      <c r="I547" s="2"/>
      <c r="J547" s="2"/>
      <c r="K547" s="2"/>
    </row>
    <row r="548" customFormat="false" ht="15.75" hidden="false" customHeight="false" outlineLevel="0" collapsed="false">
      <c r="A548" s="2"/>
      <c r="B548" s="2"/>
      <c r="C548" s="2"/>
      <c r="D548" s="2"/>
      <c r="E548" s="2"/>
      <c r="F548" s="2"/>
      <c r="G548" s="2"/>
      <c r="H548" s="2"/>
      <c r="I548" s="2"/>
      <c r="J548" s="2"/>
      <c r="K548" s="2"/>
    </row>
    <row r="549" customFormat="false" ht="15.75" hidden="false" customHeight="false" outlineLevel="0" collapsed="false">
      <c r="A549" s="2"/>
      <c r="B549" s="2"/>
      <c r="C549" s="2"/>
      <c r="D549" s="2"/>
      <c r="E549" s="2"/>
      <c r="F549" s="2"/>
      <c r="G549" s="2"/>
      <c r="H549" s="2"/>
      <c r="I549" s="2"/>
      <c r="J549" s="2"/>
      <c r="K549" s="2"/>
    </row>
    <row r="550" customFormat="false" ht="15.75" hidden="false" customHeight="false" outlineLevel="0" collapsed="false">
      <c r="A550" s="2"/>
      <c r="B550" s="2"/>
      <c r="C550" s="2"/>
      <c r="D550" s="2"/>
      <c r="E550" s="2"/>
      <c r="F550" s="2"/>
      <c r="G550" s="2"/>
      <c r="H550" s="2"/>
      <c r="I550" s="2"/>
      <c r="J550" s="2"/>
      <c r="K550" s="2"/>
    </row>
    <row r="551" customFormat="false" ht="15.75" hidden="false" customHeight="false" outlineLevel="0" collapsed="false">
      <c r="A551" s="2"/>
      <c r="B551" s="2"/>
      <c r="C551" s="2"/>
      <c r="D551" s="2"/>
      <c r="E551" s="2"/>
      <c r="F551" s="2"/>
      <c r="G551" s="2"/>
      <c r="H551" s="2"/>
      <c r="I551" s="2"/>
      <c r="J551" s="2"/>
      <c r="K551" s="2"/>
    </row>
    <row r="552" customFormat="false" ht="15.75" hidden="false" customHeight="false" outlineLevel="0" collapsed="false">
      <c r="A552" s="2"/>
      <c r="B552" s="2"/>
      <c r="C552" s="2"/>
      <c r="D552" s="2"/>
      <c r="E552" s="2"/>
      <c r="F552" s="2"/>
      <c r="G552" s="2"/>
      <c r="H552" s="2"/>
      <c r="I552" s="2"/>
      <c r="J552" s="2"/>
      <c r="K552" s="2"/>
    </row>
    <row r="553" customFormat="false" ht="15.75" hidden="false" customHeight="false" outlineLevel="0" collapsed="false">
      <c r="A553" s="2"/>
      <c r="B553" s="2"/>
      <c r="C553" s="2"/>
      <c r="D553" s="2"/>
      <c r="E553" s="2"/>
      <c r="F553" s="2"/>
      <c r="G553" s="2"/>
      <c r="H553" s="2"/>
      <c r="I553" s="2"/>
      <c r="J553" s="2"/>
      <c r="K553" s="2"/>
    </row>
    <row r="554" customFormat="false" ht="15.75" hidden="false" customHeight="false" outlineLevel="0" collapsed="false">
      <c r="A554" s="2"/>
      <c r="B554" s="2"/>
      <c r="C554" s="2"/>
      <c r="D554" s="2"/>
      <c r="E554" s="2"/>
      <c r="F554" s="2"/>
      <c r="G554" s="2"/>
      <c r="H554" s="2"/>
      <c r="I554" s="2"/>
      <c r="J554" s="2"/>
      <c r="K554" s="2"/>
    </row>
    <row r="555" customFormat="false" ht="15.75" hidden="false" customHeight="false" outlineLevel="0" collapsed="false">
      <c r="A555" s="2"/>
      <c r="B555" s="2"/>
      <c r="C555" s="2"/>
      <c r="D555" s="2"/>
      <c r="E555" s="2"/>
      <c r="F555" s="2"/>
      <c r="G555" s="2"/>
      <c r="H555" s="2"/>
      <c r="I555" s="2"/>
      <c r="J555" s="2"/>
      <c r="K555" s="2"/>
    </row>
    <row r="556" customFormat="false" ht="15.75" hidden="false" customHeight="false" outlineLevel="0" collapsed="false">
      <c r="A556" s="2"/>
      <c r="B556" s="2"/>
      <c r="C556" s="2"/>
      <c r="D556" s="2"/>
      <c r="E556" s="2"/>
      <c r="F556" s="2"/>
      <c r="G556" s="2"/>
      <c r="H556" s="2"/>
      <c r="I556" s="2"/>
      <c r="J556" s="2"/>
      <c r="K556" s="2"/>
    </row>
    <row r="557" customFormat="false" ht="15.75" hidden="false" customHeight="false" outlineLevel="0" collapsed="false">
      <c r="A557" s="2"/>
      <c r="B557" s="2"/>
      <c r="C557" s="2"/>
      <c r="D557" s="2"/>
      <c r="E557" s="2"/>
      <c r="F557" s="2"/>
      <c r="G557" s="2"/>
      <c r="H557" s="2"/>
      <c r="I557" s="2"/>
      <c r="J557" s="2"/>
      <c r="K557" s="2"/>
    </row>
    <row r="558" customFormat="false" ht="15.75" hidden="false" customHeight="false" outlineLevel="0" collapsed="false">
      <c r="A558" s="2"/>
      <c r="B558" s="2"/>
      <c r="C558" s="2"/>
      <c r="D558" s="2"/>
      <c r="E558" s="2"/>
      <c r="F558" s="2"/>
      <c r="G558" s="2"/>
      <c r="H558" s="2"/>
      <c r="I558" s="2"/>
      <c r="J558" s="2"/>
      <c r="K558" s="2"/>
    </row>
    <row r="559" customFormat="false" ht="15.75" hidden="false" customHeight="false" outlineLevel="0" collapsed="false">
      <c r="A559" s="2"/>
      <c r="B559" s="2"/>
      <c r="C559" s="2"/>
      <c r="D559" s="2"/>
      <c r="E559" s="2"/>
      <c r="F559" s="2"/>
      <c r="G559" s="2"/>
      <c r="H559" s="2"/>
      <c r="I559" s="2"/>
      <c r="J559" s="2"/>
      <c r="K559" s="2"/>
    </row>
    <row r="560" customFormat="false" ht="15.75" hidden="false" customHeight="false" outlineLevel="0" collapsed="false">
      <c r="A560" s="2"/>
      <c r="B560" s="2"/>
      <c r="C560" s="2"/>
      <c r="D560" s="2"/>
      <c r="E560" s="2"/>
      <c r="F560" s="2"/>
      <c r="G560" s="2"/>
      <c r="H560" s="2"/>
      <c r="I560" s="2"/>
      <c r="J560" s="2"/>
      <c r="K560" s="2"/>
    </row>
    <row r="561" customFormat="false" ht="15.75" hidden="false" customHeight="false" outlineLevel="0" collapsed="false">
      <c r="A561" s="2"/>
      <c r="B561" s="2"/>
      <c r="C561" s="2"/>
      <c r="D561" s="2"/>
      <c r="E561" s="2"/>
      <c r="F561" s="2"/>
      <c r="G561" s="2"/>
      <c r="H561" s="2"/>
      <c r="I561" s="2"/>
      <c r="J561" s="2"/>
      <c r="K561" s="2"/>
    </row>
    <row r="562" customFormat="false" ht="15.75" hidden="false" customHeight="false" outlineLevel="0" collapsed="false">
      <c r="A562" s="2"/>
      <c r="B562" s="2"/>
      <c r="C562" s="2"/>
      <c r="D562" s="2"/>
      <c r="E562" s="2"/>
      <c r="F562" s="2"/>
      <c r="G562" s="2"/>
      <c r="H562" s="2"/>
      <c r="I562" s="2"/>
      <c r="J562" s="2"/>
      <c r="K562" s="2"/>
    </row>
    <row r="563" customFormat="false" ht="15.75" hidden="false" customHeight="false" outlineLevel="0" collapsed="false">
      <c r="A563" s="2"/>
      <c r="B563" s="2"/>
      <c r="C563" s="2"/>
      <c r="D563" s="2"/>
      <c r="E563" s="2"/>
      <c r="F563" s="2"/>
      <c r="G563" s="2"/>
      <c r="H563" s="2"/>
      <c r="I563" s="2"/>
      <c r="J563" s="2"/>
      <c r="K563" s="2"/>
    </row>
    <row r="564" customFormat="false" ht="15.75" hidden="false" customHeight="false" outlineLevel="0" collapsed="false">
      <c r="A564" s="2"/>
      <c r="B564" s="2"/>
      <c r="C564" s="2"/>
      <c r="D564" s="2"/>
      <c r="E564" s="2"/>
      <c r="F564" s="2"/>
      <c r="G564" s="2"/>
      <c r="H564" s="2"/>
      <c r="I564" s="2"/>
      <c r="J564" s="2"/>
      <c r="K564" s="2"/>
    </row>
    <row r="565" customFormat="false" ht="15.75" hidden="false" customHeight="false" outlineLevel="0" collapsed="false">
      <c r="A565" s="2"/>
      <c r="B565" s="2"/>
      <c r="C565" s="2"/>
      <c r="D565" s="2"/>
      <c r="E565" s="2"/>
      <c r="F565" s="2"/>
      <c r="G565" s="2"/>
      <c r="H565" s="2"/>
      <c r="I565" s="2"/>
      <c r="J565" s="2"/>
      <c r="K565" s="2"/>
    </row>
    <row r="566" customFormat="false" ht="15.75" hidden="false" customHeight="false" outlineLevel="0" collapsed="false">
      <c r="A566" s="2"/>
      <c r="B566" s="2"/>
      <c r="C566" s="2"/>
      <c r="D566" s="2"/>
      <c r="E566" s="2"/>
      <c r="F566" s="2"/>
      <c r="G566" s="2"/>
      <c r="H566" s="2"/>
      <c r="I566" s="2"/>
      <c r="J566" s="2"/>
      <c r="K566" s="2"/>
    </row>
    <row r="567" customFormat="false" ht="15.75" hidden="false" customHeight="false" outlineLevel="0" collapsed="false">
      <c r="A567" s="2"/>
      <c r="B567" s="2"/>
      <c r="C567" s="2"/>
      <c r="D567" s="2"/>
      <c r="E567" s="2"/>
      <c r="F567" s="2"/>
      <c r="G567" s="2"/>
      <c r="H567" s="2"/>
      <c r="I567" s="2"/>
      <c r="J567" s="2"/>
      <c r="K567" s="2"/>
    </row>
    <row r="568" customFormat="false" ht="15.75" hidden="false" customHeight="false" outlineLevel="0" collapsed="false">
      <c r="A568" s="2"/>
      <c r="B568" s="2"/>
      <c r="C568" s="2"/>
      <c r="D568" s="2"/>
      <c r="E568" s="2"/>
      <c r="F568" s="2"/>
      <c r="G568" s="2"/>
      <c r="H568" s="2"/>
      <c r="I568" s="2"/>
      <c r="J568" s="2"/>
      <c r="K568" s="2"/>
    </row>
    <row r="569" customFormat="false" ht="15.75" hidden="false" customHeight="false" outlineLevel="0" collapsed="false">
      <c r="A569" s="2"/>
      <c r="B569" s="2"/>
      <c r="C569" s="2"/>
      <c r="D569" s="2"/>
      <c r="E569" s="2"/>
      <c r="F569" s="2"/>
      <c r="G569" s="2"/>
      <c r="H569" s="2"/>
      <c r="I569" s="2"/>
      <c r="J569" s="2"/>
      <c r="K569" s="2"/>
    </row>
    <row r="570" customFormat="false" ht="15.75" hidden="false" customHeight="false" outlineLevel="0" collapsed="false">
      <c r="A570" s="2"/>
      <c r="B570" s="2"/>
      <c r="C570" s="2"/>
      <c r="D570" s="2"/>
      <c r="E570" s="2"/>
      <c r="F570" s="2"/>
      <c r="G570" s="2"/>
      <c r="H570" s="2"/>
      <c r="I570" s="2"/>
      <c r="J570" s="2"/>
      <c r="K570" s="2"/>
    </row>
    <row r="571" customFormat="false" ht="15.75" hidden="false" customHeight="false" outlineLevel="0" collapsed="false">
      <c r="A571" s="2"/>
      <c r="B571" s="2"/>
      <c r="C571" s="2"/>
      <c r="D571" s="2"/>
      <c r="E571" s="2"/>
      <c r="F571" s="2"/>
      <c r="G571" s="2"/>
      <c r="H571" s="2"/>
      <c r="I571" s="2"/>
      <c r="J571" s="2"/>
      <c r="K571" s="2"/>
    </row>
    <row r="572" customFormat="false" ht="15.75" hidden="false" customHeight="false" outlineLevel="0" collapsed="false">
      <c r="A572" s="2"/>
      <c r="B572" s="2"/>
      <c r="C572" s="2"/>
      <c r="D572" s="2"/>
      <c r="E572" s="2"/>
      <c r="F572" s="2"/>
      <c r="G572" s="2"/>
      <c r="H572" s="2"/>
      <c r="I572" s="2"/>
      <c r="J572" s="2"/>
      <c r="K572" s="2"/>
    </row>
    <row r="573" customFormat="false" ht="15.75" hidden="false" customHeight="false" outlineLevel="0" collapsed="false">
      <c r="A573" s="2"/>
      <c r="B573" s="2"/>
      <c r="C573" s="2"/>
      <c r="D573" s="2"/>
      <c r="E573" s="2"/>
      <c r="F573" s="2"/>
      <c r="G573" s="2"/>
      <c r="H573" s="2"/>
      <c r="I573" s="2"/>
      <c r="J573" s="2"/>
      <c r="K573" s="2"/>
    </row>
    <row r="574" customFormat="false" ht="15.75" hidden="false" customHeight="false" outlineLevel="0" collapsed="false">
      <c r="A574" s="2"/>
      <c r="B574" s="2"/>
      <c r="C574" s="2"/>
      <c r="D574" s="2"/>
      <c r="E574" s="2"/>
      <c r="F574" s="2"/>
      <c r="G574" s="2"/>
      <c r="H574" s="2"/>
      <c r="I574" s="2"/>
      <c r="J574" s="2"/>
      <c r="K574" s="2"/>
    </row>
    <row r="575" customFormat="false" ht="15.75" hidden="false" customHeight="false" outlineLevel="0" collapsed="false">
      <c r="A575" s="2"/>
      <c r="B575" s="2"/>
      <c r="C575" s="2"/>
      <c r="D575" s="2"/>
      <c r="E575" s="2"/>
      <c r="F575" s="2"/>
      <c r="G575" s="2"/>
      <c r="H575" s="2"/>
      <c r="I575" s="2"/>
      <c r="J575" s="2"/>
      <c r="K575" s="2"/>
    </row>
    <row r="576" customFormat="false" ht="15.75" hidden="false" customHeight="false" outlineLevel="0" collapsed="false">
      <c r="A576" s="2"/>
      <c r="B576" s="2"/>
      <c r="C576" s="2"/>
      <c r="D576" s="2"/>
      <c r="E576" s="2"/>
      <c r="F576" s="2"/>
      <c r="G576" s="2"/>
      <c r="H576" s="2"/>
      <c r="I576" s="2"/>
      <c r="J576" s="2"/>
      <c r="K576" s="2"/>
    </row>
    <row r="577" customFormat="false" ht="15.75" hidden="false" customHeight="false" outlineLevel="0" collapsed="false">
      <c r="A577" s="2"/>
      <c r="B577" s="2"/>
      <c r="C577" s="2"/>
      <c r="D577" s="2"/>
      <c r="E577" s="2"/>
      <c r="F577" s="2"/>
      <c r="G577" s="2"/>
      <c r="H577" s="2"/>
      <c r="I577" s="2"/>
      <c r="J577" s="2"/>
      <c r="K577" s="2"/>
    </row>
    <row r="578" customFormat="false" ht="15.75" hidden="false" customHeight="false" outlineLevel="0" collapsed="false">
      <c r="A578" s="2"/>
      <c r="B578" s="2"/>
      <c r="C578" s="2"/>
      <c r="D578" s="2"/>
      <c r="E578" s="2"/>
      <c r="F578" s="2"/>
      <c r="G578" s="2"/>
      <c r="H578" s="2"/>
      <c r="I578" s="2"/>
      <c r="J578" s="2"/>
      <c r="K578" s="2"/>
    </row>
    <row r="579" customFormat="false" ht="15.75" hidden="false" customHeight="false" outlineLevel="0" collapsed="false">
      <c r="A579" s="2"/>
      <c r="B579" s="2"/>
      <c r="C579" s="2"/>
      <c r="D579" s="2"/>
      <c r="E579" s="2"/>
      <c r="F579" s="2"/>
      <c r="G579" s="2"/>
      <c r="H579" s="2"/>
      <c r="I579" s="2"/>
      <c r="J579" s="2"/>
      <c r="K579" s="2"/>
    </row>
    <row r="580" customFormat="false" ht="15.75" hidden="false" customHeight="false" outlineLevel="0" collapsed="false">
      <c r="A580" s="2"/>
      <c r="B580" s="2"/>
      <c r="C580" s="2"/>
      <c r="D580" s="2"/>
      <c r="E580" s="2"/>
      <c r="F580" s="2"/>
      <c r="G580" s="2"/>
      <c r="H580" s="2"/>
      <c r="I580" s="2"/>
      <c r="J580" s="2"/>
      <c r="K580" s="2"/>
    </row>
    <row r="581" customFormat="false" ht="15.75" hidden="false" customHeight="false" outlineLevel="0" collapsed="false">
      <c r="A581" s="2"/>
      <c r="B581" s="2"/>
      <c r="C581" s="2"/>
      <c r="D581" s="2"/>
      <c r="E581" s="2"/>
      <c r="F581" s="2"/>
      <c r="G581" s="2"/>
      <c r="H581" s="2"/>
      <c r="I581" s="2"/>
      <c r="J581" s="2"/>
      <c r="K581" s="2"/>
    </row>
    <row r="582" customFormat="false" ht="15.75" hidden="false" customHeight="false" outlineLevel="0" collapsed="false">
      <c r="A582" s="2"/>
      <c r="B582" s="2"/>
      <c r="C582" s="2"/>
      <c r="D582" s="2"/>
      <c r="E582" s="2"/>
      <c r="F582" s="2"/>
      <c r="G582" s="2"/>
      <c r="H582" s="2"/>
      <c r="I582" s="2"/>
      <c r="J582" s="2"/>
      <c r="K582" s="2"/>
    </row>
    <row r="583" customFormat="false" ht="15.75" hidden="false" customHeight="false" outlineLevel="0" collapsed="false">
      <c r="A583" s="2"/>
      <c r="B583" s="2"/>
      <c r="C583" s="2"/>
      <c r="D583" s="2"/>
      <c r="E583" s="2"/>
      <c r="F583" s="2"/>
      <c r="G583" s="2"/>
      <c r="H583" s="2"/>
      <c r="I583" s="2"/>
      <c r="J583" s="2"/>
      <c r="K583" s="2"/>
    </row>
    <row r="584" customFormat="false" ht="15.75" hidden="false" customHeight="false" outlineLevel="0" collapsed="false">
      <c r="A584" s="2"/>
      <c r="B584" s="2"/>
      <c r="C584" s="2"/>
      <c r="D584" s="2"/>
      <c r="E584" s="2"/>
      <c r="F584" s="2"/>
      <c r="G584" s="2"/>
      <c r="H584" s="2"/>
      <c r="I584" s="2"/>
      <c r="J584" s="2"/>
      <c r="K584" s="2"/>
    </row>
    <row r="585" customFormat="false" ht="15.75" hidden="false" customHeight="false" outlineLevel="0" collapsed="false">
      <c r="A585" s="2"/>
      <c r="B585" s="2"/>
      <c r="C585" s="2"/>
      <c r="D585" s="2"/>
      <c r="E585" s="2"/>
      <c r="F585" s="2"/>
      <c r="G585" s="2"/>
      <c r="H585" s="2"/>
      <c r="I585" s="2"/>
      <c r="J585" s="2"/>
      <c r="K585" s="2"/>
    </row>
    <row r="586" customFormat="false" ht="15.75" hidden="false" customHeight="false" outlineLevel="0" collapsed="false">
      <c r="A586" s="2"/>
      <c r="B586" s="2"/>
      <c r="C586" s="2"/>
      <c r="D586" s="2"/>
      <c r="E586" s="2"/>
      <c r="F586" s="2"/>
      <c r="G586" s="2"/>
      <c r="H586" s="2"/>
      <c r="I586" s="2"/>
      <c r="J586" s="2"/>
      <c r="K586" s="2"/>
    </row>
    <row r="587" customFormat="false" ht="15.75" hidden="false" customHeight="false" outlineLevel="0" collapsed="false">
      <c r="A587" s="2"/>
      <c r="B587" s="2"/>
      <c r="C587" s="2"/>
      <c r="D587" s="2"/>
      <c r="E587" s="2"/>
      <c r="F587" s="2"/>
      <c r="G587" s="2"/>
      <c r="H587" s="2"/>
      <c r="I587" s="2"/>
      <c r="J587" s="2"/>
      <c r="K587" s="2"/>
    </row>
    <row r="588" customFormat="false" ht="15.75" hidden="false" customHeight="false" outlineLevel="0" collapsed="false">
      <c r="A588" s="2"/>
      <c r="B588" s="2"/>
      <c r="C588" s="2"/>
      <c r="D588" s="2"/>
      <c r="E588" s="2"/>
      <c r="F588" s="2"/>
      <c r="G588" s="2"/>
      <c r="H588" s="2"/>
      <c r="I588" s="2"/>
      <c r="J588" s="2"/>
      <c r="K588" s="2"/>
    </row>
    <row r="589" customFormat="false" ht="15.75" hidden="false" customHeight="false" outlineLevel="0" collapsed="false">
      <c r="A589" s="2"/>
      <c r="B589" s="2"/>
      <c r="C589" s="2"/>
      <c r="D589" s="2"/>
      <c r="E589" s="2"/>
      <c r="F589" s="2"/>
      <c r="G589" s="2"/>
      <c r="H589" s="2"/>
      <c r="I589" s="2"/>
      <c r="J589" s="2"/>
      <c r="K589" s="2"/>
    </row>
    <row r="590" customFormat="false" ht="15.75" hidden="false" customHeight="false" outlineLevel="0" collapsed="false">
      <c r="A590" s="2"/>
      <c r="B590" s="2"/>
      <c r="C590" s="2"/>
      <c r="D590" s="2"/>
      <c r="E590" s="2"/>
      <c r="F590" s="2"/>
      <c r="G590" s="2"/>
      <c r="H590" s="2"/>
      <c r="I590" s="2"/>
      <c r="J590" s="2"/>
      <c r="K590" s="2"/>
    </row>
    <row r="591" customFormat="false" ht="15.75" hidden="false" customHeight="false" outlineLevel="0" collapsed="false">
      <c r="A591" s="2"/>
      <c r="B591" s="2"/>
      <c r="C591" s="2"/>
      <c r="D591" s="2"/>
      <c r="E591" s="2"/>
      <c r="F591" s="2"/>
      <c r="G591" s="2"/>
      <c r="H591" s="2"/>
      <c r="I591" s="2"/>
      <c r="J591" s="2"/>
      <c r="K591" s="2"/>
    </row>
    <row r="592" customFormat="false" ht="15.75" hidden="false" customHeight="false" outlineLevel="0" collapsed="false">
      <c r="A592" s="2"/>
      <c r="B592" s="2"/>
      <c r="C592" s="2"/>
      <c r="D592" s="2"/>
      <c r="E592" s="2"/>
      <c r="F592" s="2"/>
      <c r="G592" s="2"/>
      <c r="H592" s="2"/>
      <c r="I592" s="2"/>
      <c r="J592" s="2"/>
      <c r="K592" s="2"/>
    </row>
    <row r="593" customFormat="false" ht="15.75" hidden="false" customHeight="false" outlineLevel="0" collapsed="false">
      <c r="A593" s="2"/>
      <c r="B593" s="2"/>
      <c r="C593" s="2"/>
      <c r="D593" s="2"/>
      <c r="E593" s="2"/>
      <c r="F593" s="2"/>
      <c r="G593" s="2"/>
      <c r="H593" s="2"/>
      <c r="I593" s="2"/>
      <c r="J593" s="2"/>
      <c r="K593" s="2"/>
    </row>
    <row r="594" customFormat="false" ht="15.75" hidden="false" customHeight="false" outlineLevel="0" collapsed="false">
      <c r="A594" s="2"/>
      <c r="B594" s="2"/>
      <c r="C594" s="2"/>
      <c r="D594" s="2"/>
      <c r="E594" s="2"/>
      <c r="F594" s="2"/>
      <c r="G594" s="2"/>
      <c r="H594" s="2"/>
      <c r="I594" s="2"/>
      <c r="J594" s="2"/>
      <c r="K594" s="2"/>
    </row>
    <row r="595" customFormat="false" ht="15.75" hidden="false" customHeight="false" outlineLevel="0" collapsed="false">
      <c r="A595" s="2"/>
      <c r="B595" s="2"/>
      <c r="C595" s="2"/>
      <c r="D595" s="2"/>
      <c r="E595" s="2"/>
      <c r="F595" s="2"/>
      <c r="G595" s="2"/>
      <c r="H595" s="2"/>
      <c r="I595" s="2"/>
      <c r="J595" s="2"/>
      <c r="K595" s="2"/>
    </row>
    <row r="596" customFormat="false" ht="15.75" hidden="false" customHeight="false" outlineLevel="0" collapsed="false">
      <c r="A596" s="2"/>
      <c r="B596" s="2"/>
      <c r="C596" s="2"/>
      <c r="D596" s="2"/>
      <c r="E596" s="2"/>
      <c r="F596" s="2"/>
      <c r="G596" s="2"/>
      <c r="H596" s="2"/>
      <c r="I596" s="2"/>
      <c r="J596" s="2"/>
      <c r="K596" s="2"/>
    </row>
    <row r="597" customFormat="false" ht="15.75" hidden="false" customHeight="false" outlineLevel="0" collapsed="false">
      <c r="A597" s="2"/>
      <c r="B597" s="2"/>
      <c r="C597" s="2"/>
      <c r="D597" s="2"/>
      <c r="E597" s="2"/>
      <c r="F597" s="2"/>
      <c r="G597" s="2"/>
      <c r="H597" s="2"/>
      <c r="I597" s="2"/>
      <c r="J597" s="2"/>
      <c r="K597" s="2"/>
    </row>
    <row r="598" customFormat="false" ht="15.75" hidden="false" customHeight="false" outlineLevel="0" collapsed="false">
      <c r="A598" s="2"/>
      <c r="B598" s="2"/>
      <c r="C598" s="2"/>
      <c r="D598" s="2"/>
      <c r="E598" s="2"/>
      <c r="F598" s="2"/>
      <c r="G598" s="2"/>
      <c r="H598" s="2"/>
      <c r="I598" s="2"/>
      <c r="J598" s="2"/>
      <c r="K598" s="2"/>
    </row>
    <row r="599" customFormat="false" ht="15.75" hidden="false" customHeight="false" outlineLevel="0" collapsed="false">
      <c r="A599" s="2"/>
      <c r="B599" s="2"/>
      <c r="C599" s="2"/>
      <c r="D599" s="2"/>
      <c r="E599" s="2"/>
      <c r="F599" s="2"/>
      <c r="G599" s="2"/>
      <c r="H599" s="2"/>
      <c r="I599" s="2"/>
      <c r="J599" s="2"/>
      <c r="K599" s="2"/>
    </row>
    <row r="600" customFormat="false" ht="15.75" hidden="false" customHeight="false" outlineLevel="0" collapsed="false">
      <c r="A600" s="2"/>
      <c r="B600" s="2"/>
      <c r="C600" s="2"/>
      <c r="D600" s="2"/>
      <c r="E600" s="2"/>
      <c r="F600" s="2"/>
      <c r="G600" s="2"/>
      <c r="H600" s="2"/>
      <c r="I600" s="2"/>
      <c r="J600" s="2"/>
      <c r="K600" s="2"/>
    </row>
    <row r="601" customFormat="false" ht="15.75" hidden="false" customHeight="false" outlineLevel="0" collapsed="false">
      <c r="A601" s="2"/>
      <c r="B601" s="2"/>
      <c r="C601" s="2"/>
      <c r="D601" s="2"/>
      <c r="E601" s="2"/>
      <c r="F601" s="2"/>
      <c r="G601" s="2"/>
      <c r="H601" s="2"/>
      <c r="I601" s="2"/>
      <c r="J601" s="2"/>
      <c r="K601" s="2"/>
    </row>
    <row r="602" customFormat="false" ht="15.75" hidden="false" customHeight="false" outlineLevel="0" collapsed="false">
      <c r="A602" s="2"/>
      <c r="B602" s="2"/>
      <c r="C602" s="2"/>
      <c r="D602" s="2"/>
      <c r="E602" s="2"/>
      <c r="F602" s="2"/>
      <c r="G602" s="2"/>
      <c r="H602" s="2"/>
      <c r="I602" s="2"/>
      <c r="J602" s="2"/>
      <c r="K602" s="2"/>
    </row>
    <row r="603" customFormat="false" ht="15.75" hidden="false" customHeight="false" outlineLevel="0" collapsed="false">
      <c r="A603" s="2"/>
      <c r="B603" s="2"/>
      <c r="C603" s="2"/>
      <c r="D603" s="2"/>
      <c r="E603" s="2"/>
      <c r="F603" s="2"/>
      <c r="G603" s="2"/>
      <c r="H603" s="2"/>
      <c r="I603" s="2"/>
      <c r="J603" s="2"/>
      <c r="K603" s="2"/>
    </row>
    <row r="604" customFormat="false" ht="15.75" hidden="false" customHeight="false" outlineLevel="0" collapsed="false">
      <c r="A604" s="2"/>
      <c r="B604" s="2"/>
      <c r="C604" s="2"/>
      <c r="D604" s="2"/>
      <c r="E604" s="2"/>
      <c r="F604" s="2"/>
      <c r="G604" s="2"/>
      <c r="H604" s="2"/>
      <c r="I604" s="2"/>
      <c r="J604" s="2"/>
      <c r="K604" s="2"/>
    </row>
    <row r="605" customFormat="false" ht="15.75" hidden="false" customHeight="false" outlineLevel="0" collapsed="false">
      <c r="A605" s="2"/>
      <c r="B605" s="2"/>
      <c r="C605" s="2"/>
      <c r="D605" s="2"/>
      <c r="E605" s="2"/>
      <c r="F605" s="2"/>
      <c r="G605" s="2"/>
      <c r="H605" s="2"/>
      <c r="I605" s="2"/>
      <c r="J605" s="2"/>
      <c r="K605" s="2"/>
    </row>
    <row r="606" customFormat="false" ht="15.75" hidden="false" customHeight="false" outlineLevel="0" collapsed="false">
      <c r="A606" s="2"/>
      <c r="B606" s="2"/>
      <c r="C606" s="2"/>
      <c r="D606" s="2"/>
      <c r="E606" s="2"/>
      <c r="F606" s="2"/>
      <c r="G606" s="2"/>
      <c r="H606" s="2"/>
      <c r="I606" s="2"/>
      <c r="J606" s="2"/>
      <c r="K606" s="2"/>
    </row>
    <row r="607" customFormat="false" ht="15.75" hidden="false" customHeight="false" outlineLevel="0" collapsed="false">
      <c r="A607" s="2"/>
      <c r="B607" s="2"/>
      <c r="C607" s="2"/>
      <c r="D607" s="2"/>
      <c r="E607" s="2"/>
      <c r="F607" s="2"/>
      <c r="G607" s="2"/>
      <c r="H607" s="2"/>
      <c r="I607" s="2"/>
      <c r="J607" s="2"/>
      <c r="K607" s="2"/>
    </row>
    <row r="608" customFormat="false" ht="15.75" hidden="false" customHeight="false" outlineLevel="0" collapsed="false">
      <c r="A608" s="2"/>
      <c r="B608" s="2"/>
      <c r="C608" s="2"/>
      <c r="D608" s="2"/>
      <c r="E608" s="2"/>
      <c r="F608" s="2"/>
      <c r="G608" s="2"/>
      <c r="H608" s="2"/>
      <c r="I608" s="2"/>
      <c r="J608" s="2"/>
      <c r="K608" s="2"/>
    </row>
    <row r="609" customFormat="false" ht="15.75" hidden="false" customHeight="false" outlineLevel="0" collapsed="false">
      <c r="A609" s="2"/>
      <c r="B609" s="2"/>
      <c r="C609" s="2"/>
      <c r="D609" s="2"/>
      <c r="E609" s="2"/>
      <c r="F609" s="2"/>
      <c r="G609" s="2"/>
      <c r="H609" s="2"/>
      <c r="I609" s="2"/>
      <c r="J609" s="2"/>
      <c r="K609" s="2"/>
    </row>
    <row r="610" customFormat="false" ht="15.75" hidden="false" customHeight="false" outlineLevel="0" collapsed="false">
      <c r="A610" s="2"/>
      <c r="B610" s="2"/>
      <c r="C610" s="2"/>
      <c r="D610" s="2"/>
      <c r="E610" s="2"/>
      <c r="F610" s="2"/>
      <c r="G610" s="2"/>
      <c r="H610" s="2"/>
      <c r="I610" s="2"/>
      <c r="J610" s="2"/>
      <c r="K610" s="2"/>
    </row>
    <row r="611" customFormat="false" ht="15.75" hidden="false" customHeight="false" outlineLevel="0" collapsed="false">
      <c r="A611" s="2"/>
      <c r="B611" s="2"/>
      <c r="C611" s="2"/>
      <c r="D611" s="2"/>
      <c r="E611" s="2"/>
      <c r="F611" s="2"/>
      <c r="G611" s="2"/>
      <c r="H611" s="2"/>
      <c r="I611" s="2"/>
      <c r="J611" s="2"/>
      <c r="K611" s="2"/>
    </row>
    <row r="612" customFormat="false" ht="15.75" hidden="false" customHeight="false" outlineLevel="0" collapsed="false">
      <c r="A612" s="2"/>
      <c r="B612" s="2"/>
      <c r="C612" s="2"/>
      <c r="D612" s="2"/>
      <c r="E612" s="2"/>
      <c r="F612" s="2"/>
      <c r="G612" s="2"/>
      <c r="H612" s="2"/>
      <c r="I612" s="2"/>
      <c r="J612" s="2"/>
      <c r="K612" s="2"/>
    </row>
    <row r="613" customFormat="false" ht="15.75" hidden="false" customHeight="false" outlineLevel="0" collapsed="false">
      <c r="A613" s="2"/>
      <c r="B613" s="2"/>
      <c r="C613" s="2"/>
      <c r="D613" s="2"/>
      <c r="E613" s="2"/>
      <c r="F613" s="2"/>
      <c r="G613" s="2"/>
      <c r="H613" s="2"/>
      <c r="I613" s="2"/>
      <c r="J613" s="2"/>
      <c r="K613" s="2"/>
    </row>
    <row r="614" customFormat="false" ht="15.75" hidden="false" customHeight="false" outlineLevel="0" collapsed="false">
      <c r="A614" s="2"/>
      <c r="B614" s="2"/>
      <c r="C614" s="2"/>
      <c r="D614" s="2"/>
      <c r="E614" s="2"/>
      <c r="F614" s="2"/>
      <c r="G614" s="2"/>
      <c r="H614" s="2"/>
      <c r="I614" s="2"/>
      <c r="J614" s="2"/>
      <c r="K614" s="2"/>
    </row>
    <row r="615" customFormat="false" ht="15.75" hidden="false" customHeight="false" outlineLevel="0" collapsed="false">
      <c r="A615" s="2"/>
      <c r="B615" s="2"/>
      <c r="C615" s="2"/>
      <c r="D615" s="2"/>
      <c r="E615" s="2"/>
      <c r="F615" s="2"/>
      <c r="G615" s="2"/>
      <c r="H615" s="2"/>
      <c r="I615" s="2"/>
      <c r="J615" s="2"/>
      <c r="K615" s="2"/>
    </row>
    <row r="616" customFormat="false" ht="15.75" hidden="false" customHeight="false" outlineLevel="0" collapsed="false">
      <c r="A616" s="2"/>
      <c r="B616" s="2"/>
      <c r="C616" s="2"/>
      <c r="D616" s="2"/>
      <c r="E616" s="2"/>
      <c r="F616" s="2"/>
      <c r="G616" s="2"/>
      <c r="H616" s="2"/>
      <c r="I616" s="2"/>
      <c r="J616" s="2"/>
      <c r="K616" s="2"/>
    </row>
    <row r="617" customFormat="false" ht="15.75" hidden="false" customHeight="false" outlineLevel="0" collapsed="false">
      <c r="A617" s="2"/>
      <c r="B617" s="2"/>
      <c r="C617" s="2"/>
      <c r="D617" s="2"/>
      <c r="E617" s="2"/>
      <c r="F617" s="2"/>
      <c r="G617" s="2"/>
      <c r="H617" s="2"/>
      <c r="I617" s="2"/>
      <c r="J617" s="2"/>
      <c r="K617" s="2"/>
    </row>
    <row r="618" customFormat="false" ht="15.75" hidden="false" customHeight="false" outlineLevel="0" collapsed="false">
      <c r="A618" s="2"/>
      <c r="B618" s="2"/>
      <c r="C618" s="2"/>
      <c r="D618" s="2"/>
      <c r="E618" s="2"/>
      <c r="F618" s="2"/>
      <c r="G618" s="2"/>
      <c r="H618" s="2"/>
      <c r="I618" s="2"/>
      <c r="J618" s="2"/>
      <c r="K618" s="2"/>
    </row>
    <row r="619" customFormat="false" ht="15.75" hidden="false" customHeight="false" outlineLevel="0" collapsed="false">
      <c r="A619" s="2"/>
      <c r="B619" s="2"/>
      <c r="C619" s="2"/>
      <c r="D619" s="2"/>
      <c r="E619" s="2"/>
      <c r="F619" s="2"/>
      <c r="G619" s="2"/>
      <c r="H619" s="2"/>
      <c r="I619" s="2"/>
      <c r="J619" s="2"/>
      <c r="K619" s="2"/>
    </row>
    <row r="620" customFormat="false" ht="15.75" hidden="false" customHeight="false" outlineLevel="0" collapsed="false">
      <c r="A620" s="2"/>
      <c r="B620" s="2"/>
      <c r="C620" s="2"/>
      <c r="D620" s="2"/>
      <c r="E620" s="2"/>
      <c r="F620" s="2"/>
      <c r="G620" s="2"/>
      <c r="H620" s="2"/>
      <c r="I620" s="2"/>
      <c r="J620" s="2"/>
      <c r="K620" s="2"/>
    </row>
    <row r="621" customFormat="false" ht="15.75" hidden="false" customHeight="false" outlineLevel="0" collapsed="false">
      <c r="A621" s="2"/>
      <c r="B621" s="2"/>
      <c r="C621" s="2"/>
      <c r="D621" s="2"/>
      <c r="E621" s="2"/>
      <c r="F621" s="2"/>
      <c r="G621" s="2"/>
      <c r="H621" s="2"/>
      <c r="I621" s="2"/>
      <c r="J621" s="2"/>
      <c r="K621" s="2"/>
    </row>
    <row r="622" customFormat="false" ht="15.75" hidden="false" customHeight="false" outlineLevel="0" collapsed="false">
      <c r="A622" s="2"/>
      <c r="B622" s="2"/>
      <c r="C622" s="2"/>
      <c r="D622" s="2"/>
      <c r="E622" s="2"/>
      <c r="F622" s="2"/>
      <c r="G622" s="2"/>
      <c r="H622" s="2"/>
      <c r="I622" s="2"/>
      <c r="J622" s="2"/>
      <c r="K622" s="2"/>
    </row>
    <row r="623" customFormat="false" ht="15.75" hidden="false" customHeight="false" outlineLevel="0" collapsed="false">
      <c r="A623" s="2"/>
      <c r="B623" s="2"/>
      <c r="C623" s="2"/>
      <c r="D623" s="2"/>
      <c r="E623" s="2"/>
      <c r="F623" s="2"/>
      <c r="G623" s="2"/>
      <c r="H623" s="2"/>
      <c r="I623" s="2"/>
      <c r="J623" s="2"/>
      <c r="K623" s="2"/>
    </row>
    <row r="624" customFormat="false" ht="15.75" hidden="false" customHeight="false" outlineLevel="0" collapsed="false">
      <c r="A624" s="2"/>
      <c r="B624" s="2"/>
      <c r="C624" s="2"/>
      <c r="D624" s="2"/>
      <c r="E624" s="2"/>
      <c r="F624" s="2"/>
      <c r="G624" s="2"/>
      <c r="H624" s="2"/>
      <c r="I624" s="2"/>
      <c r="J624" s="2"/>
      <c r="K624" s="2"/>
    </row>
    <row r="625" customFormat="false" ht="15.75" hidden="false" customHeight="false" outlineLevel="0" collapsed="false">
      <c r="A625" s="2"/>
      <c r="B625" s="2"/>
      <c r="C625" s="2"/>
      <c r="D625" s="2"/>
      <c r="E625" s="2"/>
      <c r="F625" s="2"/>
      <c r="G625" s="2"/>
      <c r="H625" s="2"/>
      <c r="I625" s="2"/>
      <c r="J625" s="2"/>
      <c r="K625" s="2"/>
    </row>
    <row r="626" customFormat="false" ht="15.75" hidden="false" customHeight="false" outlineLevel="0" collapsed="false">
      <c r="A626" s="2"/>
      <c r="B626" s="2"/>
      <c r="C626" s="2"/>
      <c r="D626" s="2"/>
      <c r="E626" s="2"/>
      <c r="F626" s="2"/>
      <c r="G626" s="2"/>
      <c r="H626" s="2"/>
      <c r="I626" s="2"/>
      <c r="J626" s="2"/>
      <c r="K626" s="2"/>
    </row>
    <row r="627" customFormat="false" ht="15.75" hidden="false" customHeight="false" outlineLevel="0" collapsed="false">
      <c r="A627" s="2"/>
      <c r="B627" s="2"/>
      <c r="C627" s="2"/>
      <c r="D627" s="2"/>
      <c r="E627" s="2"/>
      <c r="F627" s="2"/>
      <c r="G627" s="2"/>
      <c r="H627" s="2"/>
      <c r="I627" s="2"/>
      <c r="J627" s="2"/>
      <c r="K627" s="2"/>
    </row>
    <row r="628" customFormat="false" ht="15.75" hidden="false" customHeight="false" outlineLevel="0" collapsed="false">
      <c r="A628" s="2"/>
      <c r="B628" s="2"/>
      <c r="C628" s="2"/>
      <c r="D628" s="2"/>
      <c r="E628" s="2"/>
      <c r="F628" s="2"/>
      <c r="G628" s="2"/>
      <c r="H628" s="2"/>
      <c r="I628" s="2"/>
      <c r="J628" s="2"/>
      <c r="K628" s="2"/>
    </row>
    <row r="629" customFormat="false" ht="15.75" hidden="false" customHeight="false" outlineLevel="0" collapsed="false">
      <c r="A629" s="2"/>
      <c r="B629" s="2"/>
      <c r="C629" s="2"/>
      <c r="D629" s="2"/>
      <c r="E629" s="2"/>
      <c r="F629" s="2"/>
      <c r="G629" s="2"/>
      <c r="H629" s="2"/>
      <c r="I629" s="2"/>
      <c r="J629" s="2"/>
      <c r="K629" s="2"/>
    </row>
    <row r="630" customFormat="false" ht="15.75" hidden="false" customHeight="false" outlineLevel="0" collapsed="false">
      <c r="A630" s="2"/>
      <c r="B630" s="2"/>
      <c r="C630" s="2"/>
      <c r="D630" s="2"/>
      <c r="E630" s="2"/>
      <c r="F630" s="2"/>
      <c r="G630" s="2"/>
      <c r="H630" s="2"/>
      <c r="I630" s="2"/>
      <c r="J630" s="2"/>
      <c r="K630" s="2"/>
    </row>
    <row r="631" customFormat="false" ht="15.75" hidden="false" customHeight="false" outlineLevel="0" collapsed="false">
      <c r="A631" s="2"/>
      <c r="B631" s="2"/>
      <c r="C631" s="2"/>
      <c r="D631" s="2"/>
      <c r="E631" s="2"/>
      <c r="F631" s="2"/>
      <c r="G631" s="2"/>
      <c r="H631" s="2"/>
      <c r="I631" s="2"/>
      <c r="J631" s="2"/>
      <c r="K631" s="2"/>
    </row>
    <row r="632" customFormat="false" ht="15.75" hidden="false" customHeight="false" outlineLevel="0" collapsed="false">
      <c r="A632" s="2"/>
      <c r="B632" s="2"/>
      <c r="C632" s="2"/>
      <c r="D632" s="2"/>
      <c r="E632" s="2"/>
      <c r="F632" s="2"/>
      <c r="G632" s="2"/>
      <c r="H632" s="2"/>
      <c r="I632" s="2"/>
      <c r="J632" s="2"/>
      <c r="K632" s="2"/>
    </row>
    <row r="633" customFormat="false" ht="15.75" hidden="false" customHeight="false" outlineLevel="0" collapsed="false">
      <c r="A633" s="2"/>
      <c r="B633" s="2"/>
      <c r="C633" s="2"/>
      <c r="D633" s="2"/>
      <c r="E633" s="2"/>
      <c r="F633" s="2"/>
      <c r="G633" s="2"/>
      <c r="H633" s="2"/>
      <c r="I633" s="2"/>
      <c r="J633" s="2"/>
      <c r="K633" s="2"/>
    </row>
    <row r="634" customFormat="false" ht="15.75" hidden="false" customHeight="false" outlineLevel="0" collapsed="false">
      <c r="A634" s="2"/>
      <c r="B634" s="2"/>
      <c r="C634" s="2"/>
      <c r="D634" s="2"/>
      <c r="E634" s="2"/>
      <c r="F634" s="2"/>
      <c r="G634" s="2"/>
      <c r="H634" s="2"/>
      <c r="I634" s="2"/>
      <c r="J634" s="2"/>
      <c r="K634" s="2"/>
    </row>
    <row r="635" customFormat="false" ht="15.75" hidden="false" customHeight="false" outlineLevel="0" collapsed="false">
      <c r="A635" s="2"/>
      <c r="B635" s="2"/>
      <c r="C635" s="2"/>
      <c r="D635" s="2"/>
      <c r="E635" s="2"/>
      <c r="F635" s="2"/>
      <c r="G635" s="2"/>
      <c r="H635" s="2"/>
      <c r="I635" s="2"/>
      <c r="J635" s="2"/>
      <c r="K635" s="2"/>
    </row>
    <row r="636" customFormat="false" ht="15.75" hidden="false" customHeight="false" outlineLevel="0" collapsed="false">
      <c r="A636" s="2"/>
      <c r="B636" s="2"/>
      <c r="C636" s="2"/>
      <c r="D636" s="2"/>
      <c r="E636" s="2"/>
      <c r="F636" s="2"/>
      <c r="G636" s="2"/>
      <c r="H636" s="2"/>
      <c r="I636" s="2"/>
      <c r="J636" s="2"/>
      <c r="K636" s="2"/>
    </row>
    <row r="637" customFormat="false" ht="15.75" hidden="false" customHeight="false" outlineLevel="0" collapsed="false">
      <c r="A637" s="2"/>
      <c r="B637" s="2"/>
      <c r="C637" s="2"/>
      <c r="D637" s="2"/>
      <c r="E637" s="2"/>
      <c r="F637" s="2"/>
      <c r="G637" s="2"/>
      <c r="H637" s="2"/>
      <c r="I637" s="2"/>
      <c r="J637" s="2"/>
      <c r="K637" s="2"/>
    </row>
    <row r="638" customFormat="false" ht="15.75" hidden="false" customHeight="false" outlineLevel="0" collapsed="false">
      <c r="A638" s="2"/>
      <c r="B638" s="2"/>
      <c r="C638" s="2"/>
      <c r="D638" s="2"/>
      <c r="E638" s="2"/>
      <c r="F638" s="2"/>
      <c r="G638" s="2"/>
      <c r="H638" s="2"/>
      <c r="I638" s="2"/>
      <c r="J638" s="2"/>
      <c r="K638" s="2"/>
    </row>
    <row r="639" customFormat="false" ht="15.75" hidden="false" customHeight="false" outlineLevel="0" collapsed="false">
      <c r="A639" s="2"/>
      <c r="B639" s="2"/>
      <c r="C639" s="2"/>
      <c r="D639" s="2"/>
      <c r="E639" s="2"/>
      <c r="F639" s="2"/>
      <c r="G639" s="2"/>
      <c r="H639" s="2"/>
      <c r="I639" s="2"/>
      <c r="J639" s="2"/>
      <c r="K639" s="2"/>
    </row>
    <row r="640" customFormat="false" ht="15.75" hidden="false" customHeight="false" outlineLevel="0" collapsed="false">
      <c r="A640" s="2"/>
      <c r="B640" s="2"/>
      <c r="C640" s="2"/>
      <c r="D640" s="2"/>
      <c r="E640" s="2"/>
      <c r="F640" s="2"/>
      <c r="G640" s="2"/>
      <c r="H640" s="2"/>
      <c r="I640" s="2"/>
      <c r="J640" s="2"/>
      <c r="K640" s="2"/>
    </row>
    <row r="641" customFormat="false" ht="15.75" hidden="false" customHeight="false" outlineLevel="0" collapsed="false">
      <c r="A641" s="2"/>
      <c r="B641" s="2"/>
      <c r="C641" s="2"/>
      <c r="D641" s="2"/>
      <c r="E641" s="2"/>
      <c r="F641" s="2"/>
      <c r="G641" s="2"/>
      <c r="H641" s="2"/>
      <c r="I641" s="2"/>
      <c r="J641" s="2"/>
      <c r="K641" s="2"/>
    </row>
    <row r="642" customFormat="false" ht="15.75" hidden="false" customHeight="false" outlineLevel="0" collapsed="false">
      <c r="A642" s="2"/>
      <c r="B642" s="2"/>
      <c r="C642" s="2"/>
      <c r="D642" s="2"/>
      <c r="E642" s="2"/>
      <c r="F642" s="2"/>
      <c r="G642" s="2"/>
      <c r="H642" s="2"/>
      <c r="I642" s="2"/>
      <c r="J642" s="2"/>
      <c r="K642" s="2"/>
    </row>
    <row r="643" customFormat="false" ht="15.75" hidden="false" customHeight="false" outlineLevel="0" collapsed="false">
      <c r="A643" s="2"/>
      <c r="B643" s="2"/>
      <c r="C643" s="2"/>
      <c r="D643" s="2"/>
      <c r="E643" s="2"/>
      <c r="F643" s="2"/>
      <c r="G643" s="2"/>
      <c r="H643" s="2"/>
      <c r="I643" s="2"/>
      <c r="J643" s="2"/>
      <c r="K643" s="2"/>
    </row>
    <row r="644" customFormat="false" ht="15.75" hidden="false" customHeight="false" outlineLevel="0" collapsed="false">
      <c r="A644" s="2"/>
      <c r="B644" s="2"/>
      <c r="C644" s="2"/>
      <c r="D644" s="2"/>
      <c r="E644" s="2"/>
      <c r="F644" s="2"/>
      <c r="G644" s="2"/>
      <c r="H644" s="2"/>
      <c r="I644" s="2"/>
      <c r="J644" s="2"/>
      <c r="K644" s="2"/>
    </row>
    <row r="645" customFormat="false" ht="15.75" hidden="false" customHeight="false" outlineLevel="0" collapsed="false">
      <c r="A645" s="2"/>
      <c r="B645" s="2"/>
      <c r="C645" s="2"/>
      <c r="D645" s="2"/>
      <c r="E645" s="2"/>
      <c r="F645" s="2"/>
      <c r="G645" s="2"/>
      <c r="H645" s="2"/>
      <c r="I645" s="2"/>
      <c r="J645" s="2"/>
      <c r="K645" s="2"/>
    </row>
    <row r="646" customFormat="false" ht="15.75" hidden="false" customHeight="false" outlineLevel="0" collapsed="false">
      <c r="A646" s="2"/>
      <c r="B646" s="2"/>
      <c r="C646" s="2"/>
      <c r="D646" s="2"/>
      <c r="E646" s="2"/>
      <c r="F646" s="2"/>
      <c r="G646" s="2"/>
      <c r="H646" s="2"/>
      <c r="I646" s="2"/>
      <c r="J646" s="2"/>
      <c r="K646" s="2"/>
    </row>
    <row r="647" customFormat="false" ht="15.75" hidden="false" customHeight="false" outlineLevel="0" collapsed="false">
      <c r="A647" s="2"/>
      <c r="B647" s="2"/>
      <c r="C647" s="2"/>
      <c r="D647" s="2"/>
      <c r="E647" s="2"/>
      <c r="F647" s="2"/>
      <c r="G647" s="2"/>
      <c r="H647" s="2"/>
      <c r="I647" s="2"/>
      <c r="J647" s="2"/>
      <c r="K647" s="2"/>
    </row>
    <row r="648" customFormat="false" ht="15.75" hidden="false" customHeight="false" outlineLevel="0" collapsed="false">
      <c r="A648" s="2"/>
      <c r="B648" s="2"/>
      <c r="C648" s="2"/>
      <c r="D648" s="2"/>
      <c r="E648" s="2"/>
      <c r="F648" s="2"/>
      <c r="G648" s="2"/>
      <c r="H648" s="2"/>
      <c r="I648" s="2"/>
      <c r="J648" s="2"/>
      <c r="K648" s="2"/>
    </row>
    <row r="649" customFormat="false" ht="15.75" hidden="false" customHeight="false" outlineLevel="0" collapsed="false">
      <c r="A649" s="2"/>
      <c r="B649" s="2"/>
      <c r="C649" s="2"/>
      <c r="D649" s="2"/>
      <c r="E649" s="2"/>
      <c r="F649" s="2"/>
      <c r="G649" s="2"/>
      <c r="H649" s="2"/>
      <c r="I649" s="2"/>
      <c r="J649" s="2"/>
      <c r="K649" s="2"/>
    </row>
    <row r="650" customFormat="false" ht="15.75" hidden="false" customHeight="false" outlineLevel="0" collapsed="false">
      <c r="A650" s="2"/>
      <c r="B650" s="2"/>
      <c r="C650" s="2"/>
      <c r="D650" s="2"/>
      <c r="E650" s="2"/>
      <c r="F650" s="2"/>
      <c r="G650" s="2"/>
      <c r="H650" s="2"/>
      <c r="I650" s="2"/>
      <c r="J650" s="2"/>
      <c r="K650" s="2"/>
    </row>
    <row r="651" customFormat="false" ht="15.75" hidden="false" customHeight="false" outlineLevel="0" collapsed="false">
      <c r="A651" s="2"/>
      <c r="B651" s="2"/>
      <c r="C651" s="2"/>
      <c r="D651" s="2"/>
      <c r="E651" s="2"/>
      <c r="F651" s="2"/>
      <c r="G651" s="2"/>
      <c r="H651" s="2"/>
      <c r="I651" s="2"/>
      <c r="J651" s="2"/>
      <c r="K651" s="2"/>
    </row>
    <row r="652" customFormat="false" ht="15.75" hidden="false" customHeight="false" outlineLevel="0" collapsed="false">
      <c r="A652" s="2"/>
      <c r="B652" s="2"/>
      <c r="C652" s="2"/>
      <c r="D652" s="2"/>
      <c r="E652" s="2"/>
      <c r="F652" s="2"/>
      <c r="G652" s="2"/>
      <c r="H652" s="2"/>
      <c r="I652" s="2"/>
      <c r="J652" s="2"/>
      <c r="K652" s="2"/>
    </row>
    <row r="653" customFormat="false" ht="15.75" hidden="false" customHeight="false" outlineLevel="0" collapsed="false">
      <c r="A653" s="2"/>
      <c r="B653" s="2"/>
      <c r="C653" s="2"/>
      <c r="D653" s="2"/>
      <c r="E653" s="2"/>
      <c r="F653" s="2"/>
      <c r="G653" s="2"/>
      <c r="H653" s="2"/>
      <c r="I653" s="2"/>
      <c r="J653" s="2"/>
      <c r="K653" s="2"/>
    </row>
    <row r="654" customFormat="false" ht="15.75" hidden="false" customHeight="false" outlineLevel="0" collapsed="false">
      <c r="A654" s="2"/>
      <c r="B654" s="2"/>
      <c r="C654" s="2"/>
      <c r="D654" s="2"/>
      <c r="E654" s="2"/>
      <c r="F654" s="2"/>
      <c r="G654" s="2"/>
      <c r="H654" s="2"/>
      <c r="I654" s="2"/>
      <c r="J654" s="2"/>
      <c r="K654" s="2"/>
    </row>
    <row r="655" customFormat="false" ht="15.75" hidden="false" customHeight="false" outlineLevel="0" collapsed="false">
      <c r="A655" s="2"/>
      <c r="B655" s="2"/>
      <c r="C655" s="2"/>
      <c r="D655" s="2"/>
      <c r="E655" s="2"/>
      <c r="F655" s="2"/>
      <c r="G655" s="2"/>
      <c r="H655" s="2"/>
      <c r="I655" s="2"/>
      <c r="J655" s="2"/>
      <c r="K655" s="2"/>
    </row>
    <row r="656" customFormat="false" ht="15.75" hidden="false" customHeight="false" outlineLevel="0" collapsed="false">
      <c r="A656" s="2"/>
      <c r="B656" s="2"/>
      <c r="C656" s="2"/>
      <c r="D656" s="2"/>
      <c r="E656" s="2"/>
      <c r="F656" s="2"/>
      <c r="G656" s="2"/>
      <c r="H656" s="2"/>
      <c r="I656" s="2"/>
      <c r="J656" s="2"/>
      <c r="K656" s="2"/>
    </row>
    <row r="657" customFormat="false" ht="15.75" hidden="false" customHeight="false" outlineLevel="0" collapsed="false">
      <c r="A657" s="2"/>
      <c r="B657" s="2"/>
      <c r="C657" s="2"/>
      <c r="D657" s="2"/>
      <c r="E657" s="2"/>
      <c r="F657" s="2"/>
      <c r="G657" s="2"/>
      <c r="H657" s="2"/>
      <c r="I657" s="2"/>
      <c r="J657" s="2"/>
      <c r="K657" s="2"/>
    </row>
    <row r="658" customFormat="false" ht="15.75" hidden="false" customHeight="false" outlineLevel="0" collapsed="false">
      <c r="A658" s="2"/>
      <c r="B658" s="2"/>
      <c r="C658" s="2"/>
      <c r="D658" s="2"/>
      <c r="E658" s="2"/>
      <c r="F658" s="2"/>
      <c r="G658" s="2"/>
      <c r="H658" s="2"/>
      <c r="I658" s="2"/>
      <c r="J658" s="2"/>
      <c r="K658" s="2"/>
    </row>
    <row r="659" customFormat="false" ht="15.75" hidden="false" customHeight="false" outlineLevel="0" collapsed="false">
      <c r="A659" s="2"/>
      <c r="B659" s="2"/>
      <c r="C659" s="2"/>
      <c r="D659" s="2"/>
      <c r="E659" s="2"/>
      <c r="F659" s="2"/>
      <c r="G659" s="2"/>
      <c r="H659" s="2"/>
      <c r="I659" s="2"/>
      <c r="J659" s="2"/>
      <c r="K659" s="2"/>
    </row>
    <row r="660" customFormat="false" ht="15.75" hidden="false" customHeight="false" outlineLevel="0" collapsed="false">
      <c r="A660" s="2"/>
      <c r="B660" s="2"/>
      <c r="C660" s="2"/>
      <c r="D660" s="2"/>
      <c r="E660" s="2"/>
      <c r="F660" s="2"/>
      <c r="G660" s="2"/>
      <c r="H660" s="2"/>
      <c r="I660" s="2"/>
      <c r="J660" s="2"/>
      <c r="K660" s="2"/>
    </row>
    <row r="661" customFormat="false" ht="15.75" hidden="false" customHeight="false" outlineLevel="0" collapsed="false">
      <c r="A661" s="2"/>
      <c r="B661" s="2"/>
      <c r="C661" s="2"/>
      <c r="D661" s="2"/>
      <c r="E661" s="2"/>
      <c r="F661" s="2"/>
      <c r="G661" s="2"/>
      <c r="H661" s="2"/>
      <c r="I661" s="2"/>
      <c r="J661" s="2"/>
      <c r="K661" s="2"/>
    </row>
    <row r="662" customFormat="false" ht="15.75" hidden="false" customHeight="false" outlineLevel="0" collapsed="false">
      <c r="A662" s="2"/>
      <c r="B662" s="2"/>
      <c r="C662" s="2"/>
      <c r="D662" s="2"/>
      <c r="E662" s="2"/>
      <c r="F662" s="2"/>
      <c r="G662" s="2"/>
      <c r="H662" s="2"/>
      <c r="I662" s="2"/>
      <c r="J662" s="2"/>
      <c r="K662" s="2"/>
    </row>
    <row r="663" customFormat="false" ht="15.75" hidden="false" customHeight="false" outlineLevel="0" collapsed="false">
      <c r="A663" s="2"/>
      <c r="B663" s="2"/>
      <c r="C663" s="2"/>
      <c r="D663" s="2"/>
      <c r="E663" s="2"/>
      <c r="F663" s="2"/>
      <c r="G663" s="2"/>
      <c r="H663" s="2"/>
      <c r="I663" s="2"/>
      <c r="J663" s="2"/>
      <c r="K663" s="2"/>
    </row>
    <row r="664" customFormat="false" ht="15.75" hidden="false" customHeight="false" outlineLevel="0" collapsed="false">
      <c r="A664" s="2"/>
      <c r="B664" s="2"/>
      <c r="C664" s="2"/>
      <c r="D664" s="2"/>
      <c r="E664" s="2"/>
      <c r="F664" s="2"/>
      <c r="G664" s="2"/>
      <c r="H664" s="2"/>
      <c r="I664" s="2"/>
      <c r="J664" s="2"/>
      <c r="K664" s="2"/>
    </row>
    <row r="665" customFormat="false" ht="15.75" hidden="false" customHeight="false" outlineLevel="0" collapsed="false">
      <c r="A665" s="2"/>
      <c r="B665" s="2"/>
      <c r="C665" s="2"/>
      <c r="D665" s="2"/>
      <c r="E665" s="2"/>
      <c r="F665" s="2"/>
      <c r="G665" s="2"/>
      <c r="H665" s="2"/>
      <c r="I665" s="2"/>
      <c r="J665" s="2"/>
      <c r="K665" s="2"/>
    </row>
    <row r="666" customFormat="false" ht="15.75" hidden="false" customHeight="false" outlineLevel="0" collapsed="false">
      <c r="A666" s="2"/>
      <c r="B666" s="2"/>
      <c r="C666" s="2"/>
      <c r="D666" s="2"/>
      <c r="E666" s="2"/>
      <c r="F666" s="2"/>
      <c r="G666" s="2"/>
      <c r="H666" s="2"/>
      <c r="I666" s="2"/>
      <c r="J666" s="2"/>
      <c r="K666" s="2"/>
    </row>
    <row r="667" customFormat="false" ht="15.75" hidden="false" customHeight="false" outlineLevel="0" collapsed="false">
      <c r="A667" s="2"/>
      <c r="B667" s="2"/>
      <c r="C667" s="2"/>
      <c r="D667" s="2"/>
      <c r="E667" s="2"/>
      <c r="F667" s="2"/>
      <c r="G667" s="2"/>
      <c r="H667" s="2"/>
      <c r="I667" s="2"/>
      <c r="J667" s="2"/>
      <c r="K667" s="2"/>
    </row>
    <row r="668" customFormat="false" ht="15.75" hidden="false" customHeight="false" outlineLevel="0" collapsed="false">
      <c r="A668" s="2"/>
      <c r="B668" s="2"/>
      <c r="C668" s="2"/>
      <c r="D668" s="2"/>
      <c r="E668" s="2"/>
      <c r="F668" s="2"/>
      <c r="G668" s="2"/>
      <c r="H668" s="2"/>
      <c r="I668" s="2"/>
      <c r="J668" s="2"/>
      <c r="K668" s="2"/>
    </row>
    <row r="669" customFormat="false" ht="15.75" hidden="false" customHeight="false" outlineLevel="0" collapsed="false">
      <c r="A669" s="2"/>
      <c r="B669" s="2"/>
      <c r="C669" s="2"/>
      <c r="D669" s="2"/>
      <c r="E669" s="2"/>
      <c r="F669" s="2"/>
      <c r="G669" s="2"/>
      <c r="H669" s="2"/>
      <c r="I669" s="2"/>
      <c r="J669" s="2"/>
      <c r="K669" s="2"/>
    </row>
    <row r="670" customFormat="false" ht="15.75" hidden="false" customHeight="false" outlineLevel="0" collapsed="false">
      <c r="A670" s="2"/>
      <c r="B670" s="2"/>
      <c r="C670" s="2"/>
      <c r="D670" s="2"/>
      <c r="E670" s="2"/>
      <c r="F670" s="2"/>
      <c r="G670" s="2"/>
      <c r="H670" s="2"/>
      <c r="I670" s="2"/>
      <c r="J670" s="2"/>
      <c r="K670" s="2"/>
    </row>
    <row r="671" customFormat="false" ht="15.75" hidden="false" customHeight="false" outlineLevel="0" collapsed="false">
      <c r="A671" s="2"/>
      <c r="B671" s="2"/>
      <c r="C671" s="2"/>
      <c r="D671" s="2"/>
      <c r="E671" s="2"/>
      <c r="F671" s="2"/>
      <c r="G671" s="2"/>
      <c r="H671" s="2"/>
      <c r="I671" s="2"/>
      <c r="J671" s="2"/>
      <c r="K671" s="2"/>
    </row>
    <row r="672" customFormat="false" ht="15.75" hidden="false" customHeight="false" outlineLevel="0" collapsed="false">
      <c r="A672" s="2"/>
      <c r="B672" s="2"/>
      <c r="C672" s="2"/>
      <c r="D672" s="2"/>
      <c r="E672" s="2"/>
      <c r="F672" s="2"/>
      <c r="G672" s="2"/>
      <c r="H672" s="2"/>
      <c r="I672" s="2"/>
      <c r="J672" s="2"/>
      <c r="K672" s="2"/>
    </row>
    <row r="673" customFormat="false" ht="15.75" hidden="false" customHeight="false" outlineLevel="0" collapsed="false">
      <c r="A673" s="2"/>
      <c r="B673" s="2"/>
      <c r="C673" s="2"/>
      <c r="D673" s="2"/>
      <c r="E673" s="2"/>
      <c r="F673" s="2"/>
      <c r="G673" s="2"/>
      <c r="H673" s="2"/>
      <c r="I673" s="2"/>
      <c r="J673" s="2"/>
      <c r="K673" s="2"/>
    </row>
    <row r="674" customFormat="false" ht="15.75" hidden="false" customHeight="false" outlineLevel="0" collapsed="false">
      <c r="A674" s="2"/>
      <c r="B674" s="2"/>
      <c r="C674" s="2"/>
      <c r="D674" s="2"/>
      <c r="E674" s="2"/>
      <c r="F674" s="2"/>
      <c r="G674" s="2"/>
      <c r="H674" s="2"/>
      <c r="I674" s="2"/>
      <c r="J674" s="2"/>
      <c r="K674" s="2"/>
    </row>
    <row r="675" customFormat="false" ht="15.75" hidden="false" customHeight="false" outlineLevel="0" collapsed="false">
      <c r="A675" s="2"/>
      <c r="B675" s="2"/>
      <c r="C675" s="2"/>
      <c r="D675" s="2"/>
      <c r="E675" s="2"/>
      <c r="F675" s="2"/>
      <c r="G675" s="2"/>
      <c r="H675" s="2"/>
      <c r="I675" s="2"/>
      <c r="J675" s="2"/>
      <c r="K675" s="2"/>
    </row>
    <row r="676" customFormat="false" ht="15.75" hidden="false" customHeight="false" outlineLevel="0" collapsed="false">
      <c r="A676" s="2"/>
      <c r="B676" s="2"/>
      <c r="C676" s="2"/>
      <c r="D676" s="2"/>
      <c r="E676" s="2"/>
      <c r="F676" s="2"/>
      <c r="G676" s="2"/>
      <c r="H676" s="2"/>
      <c r="I676" s="2"/>
      <c r="J676" s="2"/>
      <c r="K676" s="2"/>
    </row>
    <row r="677" customFormat="false" ht="15.75" hidden="false" customHeight="false" outlineLevel="0" collapsed="false">
      <c r="A677" s="2"/>
      <c r="B677" s="2"/>
      <c r="C677" s="2"/>
      <c r="D677" s="2"/>
      <c r="E677" s="2"/>
      <c r="F677" s="2"/>
      <c r="G677" s="2"/>
      <c r="H677" s="2"/>
      <c r="I677" s="2"/>
      <c r="J677" s="2"/>
      <c r="K677" s="2"/>
    </row>
    <row r="678" customFormat="false" ht="15.75" hidden="false" customHeight="false" outlineLevel="0" collapsed="false">
      <c r="A678" s="2"/>
      <c r="B678" s="2"/>
      <c r="C678" s="2"/>
      <c r="D678" s="2"/>
      <c r="E678" s="2"/>
      <c r="F678" s="2"/>
      <c r="G678" s="2"/>
      <c r="H678" s="2"/>
      <c r="I678" s="2"/>
      <c r="J678" s="2"/>
      <c r="K678" s="2"/>
    </row>
    <row r="679" customFormat="false" ht="15.75" hidden="false" customHeight="false" outlineLevel="0" collapsed="false">
      <c r="A679" s="2"/>
      <c r="B679" s="2"/>
      <c r="C679" s="2"/>
      <c r="D679" s="2"/>
      <c r="E679" s="2"/>
      <c r="F679" s="2"/>
      <c r="G679" s="2"/>
      <c r="H679" s="2"/>
      <c r="I679" s="2"/>
      <c r="J679" s="2"/>
      <c r="K679" s="2"/>
    </row>
    <row r="680" customFormat="false" ht="15.75" hidden="false" customHeight="false" outlineLevel="0" collapsed="false">
      <c r="A680" s="2"/>
      <c r="B680" s="2"/>
      <c r="C680" s="2"/>
      <c r="D680" s="2"/>
      <c r="E680" s="2"/>
      <c r="F680" s="2"/>
      <c r="G680" s="2"/>
      <c r="H680" s="2"/>
      <c r="I680" s="2"/>
      <c r="J680" s="2"/>
      <c r="K680" s="2"/>
    </row>
    <row r="681" customFormat="false" ht="15.75" hidden="false" customHeight="false" outlineLevel="0" collapsed="false">
      <c r="A681" s="2"/>
      <c r="B681" s="2"/>
      <c r="C681" s="2"/>
      <c r="D681" s="2"/>
      <c r="E681" s="2"/>
      <c r="F681" s="2"/>
      <c r="G681" s="2"/>
      <c r="H681" s="2"/>
      <c r="I681" s="2"/>
      <c r="J681" s="2"/>
      <c r="K681" s="2"/>
    </row>
    <row r="682" customFormat="false" ht="15.75" hidden="false" customHeight="false" outlineLevel="0" collapsed="false">
      <c r="A682" s="2"/>
      <c r="B682" s="2"/>
      <c r="C682" s="2"/>
      <c r="D682" s="2"/>
      <c r="E682" s="2"/>
      <c r="F682" s="2"/>
      <c r="G682" s="2"/>
      <c r="H682" s="2"/>
      <c r="I682" s="2"/>
      <c r="J682" s="2"/>
      <c r="K682" s="2"/>
    </row>
    <row r="683" customFormat="false" ht="15.75" hidden="false" customHeight="false" outlineLevel="0" collapsed="false">
      <c r="A683" s="2"/>
      <c r="B683" s="2"/>
      <c r="C683" s="2"/>
      <c r="D683" s="2"/>
      <c r="E683" s="2"/>
      <c r="F683" s="2"/>
      <c r="G683" s="2"/>
      <c r="H683" s="2"/>
      <c r="I683" s="2"/>
      <c r="J683" s="2"/>
      <c r="K683" s="2"/>
    </row>
    <row r="684" customFormat="false" ht="15.75" hidden="false" customHeight="false" outlineLevel="0" collapsed="false">
      <c r="A684" s="2"/>
      <c r="B684" s="2"/>
      <c r="C684" s="2"/>
      <c r="D684" s="2"/>
      <c r="E684" s="2"/>
      <c r="F684" s="2"/>
      <c r="G684" s="2"/>
      <c r="H684" s="2"/>
      <c r="I684" s="2"/>
      <c r="J684" s="2"/>
      <c r="K684" s="2"/>
    </row>
    <row r="685" customFormat="false" ht="15.75" hidden="false" customHeight="false" outlineLevel="0" collapsed="false">
      <c r="A685" s="2"/>
      <c r="B685" s="2"/>
      <c r="C685" s="2"/>
      <c r="D685" s="2"/>
      <c r="E685" s="2"/>
      <c r="F685" s="2"/>
      <c r="G685" s="2"/>
      <c r="H685" s="2"/>
      <c r="I685" s="2"/>
      <c r="J685" s="2"/>
      <c r="K685" s="2"/>
    </row>
    <row r="686" customFormat="false" ht="15.75" hidden="false" customHeight="false" outlineLevel="0" collapsed="false">
      <c r="A686" s="2"/>
      <c r="B686" s="2"/>
      <c r="C686" s="2"/>
      <c r="D686" s="2"/>
      <c r="E686" s="2"/>
      <c r="F686" s="2"/>
      <c r="G686" s="2"/>
      <c r="H686" s="2"/>
      <c r="I686" s="2"/>
      <c r="J686" s="2"/>
      <c r="K686" s="2"/>
    </row>
    <row r="687" customFormat="false" ht="15.75" hidden="false" customHeight="false" outlineLevel="0" collapsed="false">
      <c r="A687" s="2"/>
      <c r="B687" s="2"/>
      <c r="C687" s="2"/>
      <c r="D687" s="2"/>
      <c r="E687" s="2"/>
      <c r="F687" s="2"/>
      <c r="G687" s="2"/>
      <c r="H687" s="2"/>
      <c r="I687" s="2"/>
      <c r="J687" s="2"/>
      <c r="K687" s="2"/>
    </row>
    <row r="688" customFormat="false" ht="15.75" hidden="false" customHeight="false" outlineLevel="0" collapsed="false">
      <c r="A688" s="2"/>
      <c r="B688" s="2"/>
      <c r="C688" s="2"/>
      <c r="D688" s="2"/>
      <c r="E688" s="2"/>
      <c r="F688" s="2"/>
      <c r="G688" s="2"/>
      <c r="H688" s="2"/>
      <c r="I688" s="2"/>
      <c r="J688" s="2"/>
      <c r="K688" s="2"/>
    </row>
    <row r="689" customFormat="false" ht="15.75" hidden="false" customHeight="false" outlineLevel="0" collapsed="false">
      <c r="A689" s="2"/>
      <c r="B689" s="2"/>
      <c r="C689" s="2"/>
      <c r="D689" s="2"/>
      <c r="E689" s="2"/>
      <c r="F689" s="2"/>
      <c r="G689" s="2"/>
      <c r="H689" s="2"/>
      <c r="I689" s="2"/>
      <c r="J689" s="2"/>
      <c r="K689" s="2"/>
    </row>
    <row r="690" customFormat="false" ht="15.75" hidden="false" customHeight="false" outlineLevel="0" collapsed="false">
      <c r="A690" s="2"/>
      <c r="B690" s="2"/>
      <c r="C690" s="2"/>
      <c r="D690" s="2"/>
      <c r="E690" s="2"/>
      <c r="F690" s="2"/>
      <c r="G690" s="2"/>
      <c r="H690" s="2"/>
      <c r="I690" s="2"/>
      <c r="J690" s="2"/>
      <c r="K690" s="2"/>
    </row>
    <row r="691" customFormat="false" ht="15.75" hidden="false" customHeight="false" outlineLevel="0" collapsed="false">
      <c r="A691" s="2"/>
      <c r="B691" s="2"/>
      <c r="C691" s="2"/>
      <c r="D691" s="2"/>
      <c r="E691" s="2"/>
      <c r="F691" s="2"/>
      <c r="G691" s="2"/>
      <c r="H691" s="2"/>
      <c r="I691" s="2"/>
      <c r="J691" s="2"/>
      <c r="K691" s="2"/>
    </row>
    <row r="692" customFormat="false" ht="15.75" hidden="false" customHeight="false" outlineLevel="0" collapsed="false">
      <c r="A692" s="2"/>
      <c r="B692" s="2"/>
      <c r="C692" s="2"/>
      <c r="D692" s="2"/>
      <c r="E692" s="2"/>
      <c r="F692" s="2"/>
      <c r="G692" s="2"/>
      <c r="H692" s="2"/>
      <c r="I692" s="2"/>
      <c r="J692" s="2"/>
      <c r="K692" s="2"/>
    </row>
    <row r="693" customFormat="false" ht="15.75" hidden="false" customHeight="false" outlineLevel="0" collapsed="false">
      <c r="A693" s="2"/>
      <c r="B693" s="2"/>
      <c r="C693" s="2"/>
      <c r="D693" s="2"/>
      <c r="E693" s="2"/>
      <c r="F693" s="2"/>
      <c r="G693" s="2"/>
      <c r="H693" s="2"/>
      <c r="I693" s="2"/>
      <c r="J693" s="2"/>
      <c r="K693" s="2"/>
    </row>
    <row r="694" customFormat="false" ht="15.75" hidden="false" customHeight="false" outlineLevel="0" collapsed="false">
      <c r="A694" s="2"/>
      <c r="B694" s="2"/>
      <c r="C694" s="2"/>
      <c r="D694" s="2"/>
      <c r="E694" s="2"/>
      <c r="F694" s="2"/>
      <c r="G694" s="2"/>
      <c r="H694" s="2"/>
      <c r="I694" s="2"/>
      <c r="J694" s="2"/>
      <c r="K694" s="2"/>
    </row>
    <row r="695" customFormat="false" ht="15.75" hidden="false" customHeight="false" outlineLevel="0" collapsed="false">
      <c r="A695" s="2"/>
      <c r="B695" s="2"/>
      <c r="C695" s="2"/>
      <c r="D695" s="2"/>
      <c r="E695" s="2"/>
      <c r="F695" s="2"/>
      <c r="G695" s="2"/>
      <c r="H695" s="2"/>
      <c r="I695" s="2"/>
      <c r="J695" s="2"/>
      <c r="K695" s="2"/>
    </row>
    <row r="696" customFormat="false" ht="15.75" hidden="false" customHeight="false" outlineLevel="0" collapsed="false">
      <c r="A696" s="2"/>
      <c r="B696" s="2"/>
      <c r="C696" s="2"/>
      <c r="D696" s="2"/>
      <c r="E696" s="2"/>
      <c r="F696" s="2"/>
      <c r="G696" s="2"/>
      <c r="H696" s="2"/>
      <c r="I696" s="2"/>
      <c r="J696" s="2"/>
      <c r="K696" s="2"/>
    </row>
    <row r="697" customFormat="false" ht="15.75" hidden="false" customHeight="false" outlineLevel="0" collapsed="false">
      <c r="A697" s="2"/>
      <c r="B697" s="2"/>
      <c r="C697" s="2"/>
      <c r="D697" s="2"/>
      <c r="E697" s="2"/>
      <c r="F697" s="2"/>
      <c r="G697" s="2"/>
      <c r="H697" s="2"/>
      <c r="I697" s="2"/>
      <c r="J697" s="2"/>
      <c r="K697" s="2"/>
    </row>
    <row r="698" customFormat="false" ht="15.75" hidden="false" customHeight="false" outlineLevel="0" collapsed="false">
      <c r="A698" s="2"/>
      <c r="B698" s="2"/>
      <c r="C698" s="2"/>
      <c r="D698" s="2"/>
      <c r="E698" s="2"/>
      <c r="F698" s="2"/>
      <c r="G698" s="2"/>
      <c r="H698" s="2"/>
      <c r="I698" s="2"/>
      <c r="J698" s="2"/>
      <c r="K698" s="2"/>
    </row>
    <row r="699" customFormat="false" ht="15.75" hidden="false" customHeight="false" outlineLevel="0" collapsed="false">
      <c r="A699" s="2"/>
      <c r="B699" s="2"/>
      <c r="C699" s="2"/>
      <c r="D699" s="2"/>
      <c r="E699" s="2"/>
      <c r="F699" s="2"/>
      <c r="G699" s="2"/>
      <c r="H699" s="2"/>
      <c r="I699" s="2"/>
      <c r="J699" s="2"/>
      <c r="K699" s="2"/>
    </row>
    <row r="700" customFormat="false" ht="15.75" hidden="false" customHeight="false" outlineLevel="0" collapsed="false">
      <c r="A700" s="2"/>
      <c r="B700" s="2"/>
      <c r="C700" s="2"/>
      <c r="D700" s="2"/>
      <c r="E700" s="2"/>
      <c r="F700" s="2"/>
      <c r="G700" s="2"/>
      <c r="H700" s="2"/>
      <c r="I700" s="2"/>
      <c r="J700" s="2"/>
      <c r="K700" s="2"/>
    </row>
    <row r="701" customFormat="false" ht="15.75" hidden="false" customHeight="false" outlineLevel="0" collapsed="false">
      <c r="A701" s="2"/>
      <c r="B701" s="2"/>
      <c r="C701" s="2"/>
      <c r="D701" s="2"/>
      <c r="E701" s="2"/>
      <c r="F701" s="2"/>
      <c r="G701" s="2"/>
      <c r="H701" s="2"/>
      <c r="I701" s="2"/>
      <c r="J701" s="2"/>
      <c r="K701" s="2"/>
    </row>
    <row r="702" customFormat="false" ht="15.75" hidden="false" customHeight="false" outlineLevel="0" collapsed="false">
      <c r="A702" s="2"/>
      <c r="B702" s="2"/>
      <c r="C702" s="2"/>
      <c r="D702" s="2"/>
      <c r="E702" s="2"/>
      <c r="F702" s="2"/>
      <c r="G702" s="2"/>
      <c r="H702" s="2"/>
      <c r="I702" s="2"/>
      <c r="J702" s="2"/>
      <c r="K702" s="2"/>
    </row>
    <row r="703" customFormat="false" ht="15.75" hidden="false" customHeight="false" outlineLevel="0" collapsed="false">
      <c r="A703" s="2"/>
      <c r="B703" s="2"/>
      <c r="C703" s="2"/>
      <c r="D703" s="2"/>
      <c r="E703" s="2"/>
      <c r="F703" s="2"/>
      <c r="G703" s="2"/>
      <c r="H703" s="2"/>
      <c r="I703" s="2"/>
      <c r="J703" s="2"/>
      <c r="K703" s="2"/>
    </row>
    <row r="704" customFormat="false" ht="15.75" hidden="false" customHeight="false" outlineLevel="0" collapsed="false">
      <c r="A704" s="2"/>
      <c r="B704" s="2"/>
      <c r="C704" s="2"/>
      <c r="D704" s="2"/>
      <c r="E704" s="2"/>
      <c r="F704" s="2"/>
      <c r="G704" s="2"/>
      <c r="H704" s="2"/>
      <c r="I704" s="2"/>
      <c r="J704" s="2"/>
      <c r="K704" s="2"/>
    </row>
    <row r="705" customFormat="false" ht="15.75" hidden="false" customHeight="false" outlineLevel="0" collapsed="false">
      <c r="A705" s="2"/>
      <c r="B705" s="2"/>
      <c r="C705" s="2"/>
      <c r="D705" s="2"/>
      <c r="E705" s="2"/>
      <c r="F705" s="2"/>
      <c r="G705" s="2"/>
      <c r="H705" s="2"/>
      <c r="I705" s="2"/>
      <c r="J705" s="2"/>
      <c r="K705" s="2"/>
    </row>
    <row r="706" customFormat="false" ht="15.75" hidden="false" customHeight="false" outlineLevel="0" collapsed="false">
      <c r="A706" s="2"/>
      <c r="B706" s="2"/>
      <c r="C706" s="2"/>
      <c r="D706" s="2"/>
      <c r="E706" s="2"/>
      <c r="F706" s="2"/>
      <c r="G706" s="2"/>
      <c r="H706" s="2"/>
      <c r="I706" s="2"/>
      <c r="J706" s="2"/>
      <c r="K706" s="2"/>
    </row>
    <row r="707" customFormat="false" ht="15.75" hidden="false" customHeight="false" outlineLevel="0" collapsed="false">
      <c r="A707" s="2"/>
      <c r="B707" s="2"/>
      <c r="C707" s="2"/>
      <c r="D707" s="2"/>
      <c r="E707" s="2"/>
      <c r="F707" s="2"/>
      <c r="G707" s="2"/>
      <c r="H707" s="2"/>
      <c r="I707" s="2"/>
      <c r="J707" s="2"/>
      <c r="K707" s="2"/>
    </row>
    <row r="708" customFormat="false" ht="15.75" hidden="false" customHeight="false" outlineLevel="0" collapsed="false">
      <c r="A708" s="2"/>
      <c r="B708" s="2"/>
      <c r="C708" s="2"/>
      <c r="D708" s="2"/>
      <c r="E708" s="2"/>
      <c r="F708" s="2"/>
      <c r="G708" s="2"/>
      <c r="H708" s="2"/>
      <c r="I708" s="2"/>
      <c r="J708" s="2"/>
      <c r="K708" s="2"/>
    </row>
    <row r="709" customFormat="false" ht="15.75" hidden="false" customHeight="false" outlineLevel="0" collapsed="false">
      <c r="A709" s="2"/>
      <c r="B709" s="2"/>
      <c r="C709" s="2"/>
      <c r="D709" s="2"/>
      <c r="E709" s="2"/>
      <c r="F709" s="2"/>
      <c r="G709" s="2"/>
      <c r="H709" s="2"/>
      <c r="I709" s="2"/>
      <c r="J709" s="2"/>
      <c r="K709" s="2"/>
    </row>
    <row r="710" customFormat="false" ht="15.75" hidden="false" customHeight="false" outlineLevel="0" collapsed="false">
      <c r="A710" s="2"/>
      <c r="B710" s="2"/>
      <c r="C710" s="2"/>
      <c r="D710" s="2"/>
      <c r="E710" s="2"/>
      <c r="F710" s="2"/>
      <c r="G710" s="2"/>
      <c r="H710" s="2"/>
      <c r="I710" s="2"/>
      <c r="J710" s="2"/>
      <c r="K710" s="2"/>
    </row>
    <row r="711" customFormat="false" ht="15.75" hidden="false" customHeight="false" outlineLevel="0" collapsed="false">
      <c r="A711" s="2"/>
      <c r="B711" s="2"/>
      <c r="C711" s="2"/>
      <c r="D711" s="2"/>
      <c r="E711" s="2"/>
      <c r="F711" s="2"/>
      <c r="G711" s="2"/>
      <c r="H711" s="2"/>
      <c r="I711" s="2"/>
      <c r="J711" s="2"/>
      <c r="K711" s="2"/>
    </row>
    <row r="712" customFormat="false" ht="15.75" hidden="false" customHeight="false" outlineLevel="0" collapsed="false">
      <c r="A712" s="2"/>
      <c r="B712" s="2"/>
      <c r="C712" s="2"/>
      <c r="D712" s="2"/>
      <c r="E712" s="2"/>
      <c r="F712" s="2"/>
      <c r="G712" s="2"/>
      <c r="H712" s="2"/>
      <c r="I712" s="2"/>
      <c r="J712" s="2"/>
      <c r="K712" s="2"/>
    </row>
    <row r="713" customFormat="false" ht="15.75" hidden="false" customHeight="false" outlineLevel="0" collapsed="false">
      <c r="A713" s="2"/>
      <c r="B713" s="2"/>
      <c r="C713" s="2"/>
      <c r="D713" s="2"/>
      <c r="E713" s="2"/>
      <c r="F713" s="2"/>
      <c r="G713" s="2"/>
      <c r="H713" s="2"/>
      <c r="I713" s="2"/>
      <c r="J713" s="2"/>
      <c r="K713" s="2"/>
    </row>
    <row r="714" customFormat="false" ht="15.75" hidden="false" customHeight="false" outlineLevel="0" collapsed="false">
      <c r="A714" s="2"/>
      <c r="B714" s="2"/>
      <c r="C714" s="2"/>
      <c r="D714" s="2"/>
      <c r="E714" s="2"/>
      <c r="F714" s="2"/>
      <c r="G714" s="2"/>
      <c r="H714" s="2"/>
      <c r="I714" s="2"/>
      <c r="J714" s="2"/>
      <c r="K714" s="2"/>
    </row>
    <row r="715" customFormat="false" ht="15.75" hidden="false" customHeight="false" outlineLevel="0" collapsed="false">
      <c r="A715" s="2"/>
      <c r="B715" s="2"/>
      <c r="C715" s="2"/>
      <c r="D715" s="2"/>
      <c r="E715" s="2"/>
      <c r="F715" s="2"/>
      <c r="G715" s="2"/>
      <c r="H715" s="2"/>
      <c r="I715" s="2"/>
      <c r="J715" s="2"/>
      <c r="K715" s="2"/>
    </row>
    <row r="716" customFormat="false" ht="15.75" hidden="false" customHeight="false" outlineLevel="0" collapsed="false">
      <c r="A716" s="2"/>
      <c r="B716" s="2"/>
      <c r="C716" s="2"/>
      <c r="D716" s="2"/>
      <c r="E716" s="2"/>
      <c r="F716" s="2"/>
      <c r="G716" s="2"/>
      <c r="H716" s="2"/>
      <c r="I716" s="2"/>
      <c r="J716" s="2"/>
      <c r="K716" s="2"/>
    </row>
    <row r="717" customFormat="false" ht="15.75" hidden="false" customHeight="false" outlineLevel="0" collapsed="false">
      <c r="A717" s="2"/>
      <c r="B717" s="2"/>
      <c r="C717" s="2"/>
      <c r="D717" s="2"/>
      <c r="E717" s="2"/>
      <c r="F717" s="2"/>
      <c r="G717" s="2"/>
      <c r="H717" s="2"/>
      <c r="I717" s="2"/>
      <c r="J717" s="2"/>
      <c r="K717" s="2"/>
    </row>
    <row r="718" customFormat="false" ht="15.75" hidden="false" customHeight="false" outlineLevel="0" collapsed="false">
      <c r="A718" s="2"/>
      <c r="B718" s="2"/>
      <c r="C718" s="2"/>
      <c r="D718" s="2"/>
      <c r="E718" s="2"/>
      <c r="F718" s="2"/>
      <c r="G718" s="2"/>
      <c r="H718" s="2"/>
      <c r="I718" s="2"/>
      <c r="J718" s="2"/>
      <c r="K718" s="2"/>
    </row>
    <row r="719" customFormat="false" ht="15.75" hidden="false" customHeight="false" outlineLevel="0" collapsed="false">
      <c r="A719" s="2"/>
      <c r="B719" s="2"/>
      <c r="C719" s="2"/>
      <c r="D719" s="2"/>
      <c r="E719" s="2"/>
      <c r="F719" s="2"/>
      <c r="G719" s="2"/>
      <c r="H719" s="2"/>
      <c r="I719" s="2"/>
      <c r="J719" s="2"/>
      <c r="K719" s="2"/>
    </row>
    <row r="720" customFormat="false" ht="15.75" hidden="false" customHeight="false" outlineLevel="0" collapsed="false">
      <c r="A720" s="2"/>
      <c r="B720" s="2"/>
      <c r="C720" s="2"/>
      <c r="D720" s="2"/>
      <c r="E720" s="2"/>
      <c r="F720" s="2"/>
      <c r="G720" s="2"/>
      <c r="H720" s="2"/>
      <c r="I720" s="2"/>
      <c r="J720" s="2"/>
      <c r="K720" s="2"/>
    </row>
    <row r="721" customFormat="false" ht="15.75" hidden="false" customHeight="false" outlineLevel="0" collapsed="false">
      <c r="A721" s="2"/>
      <c r="B721" s="2"/>
      <c r="C721" s="2"/>
      <c r="D721" s="2"/>
      <c r="E721" s="2"/>
      <c r="F721" s="2"/>
      <c r="G721" s="2"/>
      <c r="H721" s="2"/>
      <c r="I721" s="2"/>
      <c r="J721" s="2"/>
      <c r="K721" s="2"/>
    </row>
    <row r="722" customFormat="false" ht="15.75" hidden="false" customHeight="false" outlineLevel="0" collapsed="false">
      <c r="A722" s="2"/>
      <c r="B722" s="2"/>
      <c r="C722" s="2"/>
      <c r="D722" s="2"/>
      <c r="E722" s="2"/>
      <c r="F722" s="2"/>
      <c r="G722" s="2"/>
      <c r="H722" s="2"/>
      <c r="I722" s="2"/>
      <c r="J722" s="2"/>
      <c r="K722" s="2"/>
    </row>
    <row r="723" customFormat="false" ht="15.75" hidden="false" customHeight="false" outlineLevel="0" collapsed="false">
      <c r="A723" s="2"/>
      <c r="B723" s="2"/>
      <c r="C723" s="2"/>
      <c r="D723" s="2"/>
      <c r="E723" s="2"/>
      <c r="F723" s="2"/>
      <c r="G723" s="2"/>
      <c r="H723" s="2"/>
      <c r="I723" s="2"/>
      <c r="J723" s="2"/>
      <c r="K723" s="2"/>
    </row>
    <row r="724" customFormat="false" ht="15.75" hidden="false" customHeight="false" outlineLevel="0" collapsed="false">
      <c r="A724" s="2"/>
      <c r="B724" s="2"/>
      <c r="C724" s="2"/>
      <c r="D724" s="2"/>
      <c r="E724" s="2"/>
      <c r="F724" s="2"/>
      <c r="G724" s="2"/>
      <c r="H724" s="2"/>
      <c r="I724" s="2"/>
      <c r="J724" s="2"/>
      <c r="K724" s="2"/>
    </row>
    <row r="725" customFormat="false" ht="15.75" hidden="false" customHeight="false" outlineLevel="0" collapsed="false">
      <c r="A725" s="2"/>
      <c r="B725" s="2"/>
      <c r="C725" s="2"/>
      <c r="D725" s="2"/>
      <c r="E725" s="2"/>
      <c r="F725" s="2"/>
      <c r="G725" s="2"/>
      <c r="H725" s="2"/>
      <c r="I725" s="2"/>
      <c r="J725" s="2"/>
      <c r="K725" s="2"/>
    </row>
    <row r="726" customFormat="false" ht="15.75" hidden="false" customHeight="false" outlineLevel="0" collapsed="false">
      <c r="A726" s="2"/>
      <c r="B726" s="2"/>
      <c r="C726" s="2"/>
      <c r="D726" s="2"/>
      <c r="E726" s="2"/>
      <c r="F726" s="2"/>
      <c r="G726" s="2"/>
      <c r="H726" s="2"/>
      <c r="I726" s="2"/>
      <c r="J726" s="2"/>
      <c r="K726" s="2"/>
    </row>
    <row r="727" customFormat="false" ht="15.75" hidden="false" customHeight="false" outlineLevel="0" collapsed="false">
      <c r="A727" s="2"/>
      <c r="B727" s="2"/>
      <c r="C727" s="2"/>
      <c r="D727" s="2"/>
      <c r="E727" s="2"/>
      <c r="F727" s="2"/>
      <c r="G727" s="2"/>
      <c r="H727" s="2"/>
      <c r="I727" s="2"/>
      <c r="J727" s="2"/>
      <c r="K727" s="2"/>
    </row>
    <row r="728" customFormat="false" ht="15.75" hidden="false" customHeight="false" outlineLevel="0" collapsed="false">
      <c r="A728" s="2"/>
      <c r="B728" s="2"/>
      <c r="C728" s="2"/>
      <c r="D728" s="2"/>
      <c r="E728" s="2"/>
      <c r="F728" s="2"/>
      <c r="G728" s="2"/>
      <c r="H728" s="2"/>
      <c r="I728" s="2"/>
      <c r="J728" s="2"/>
      <c r="K728" s="2"/>
    </row>
    <row r="729" customFormat="false" ht="15.75" hidden="false" customHeight="false" outlineLevel="0" collapsed="false">
      <c r="A729" s="2"/>
      <c r="B729" s="2"/>
      <c r="C729" s="2"/>
      <c r="D729" s="2"/>
      <c r="E729" s="2"/>
      <c r="F729" s="2"/>
      <c r="G729" s="2"/>
      <c r="H729" s="2"/>
      <c r="I729" s="2"/>
      <c r="J729" s="2"/>
      <c r="K729" s="2"/>
    </row>
    <row r="730" customFormat="false" ht="15.75" hidden="false" customHeight="false" outlineLevel="0" collapsed="false">
      <c r="A730" s="2"/>
      <c r="B730" s="2"/>
      <c r="C730" s="2"/>
      <c r="D730" s="2"/>
      <c r="E730" s="2"/>
      <c r="F730" s="2"/>
      <c r="G730" s="2"/>
      <c r="H730" s="2"/>
      <c r="I730" s="2"/>
      <c r="J730" s="2"/>
      <c r="K730" s="2"/>
    </row>
    <row r="731" customFormat="false" ht="15.75" hidden="false" customHeight="false" outlineLevel="0" collapsed="false">
      <c r="A731" s="2"/>
      <c r="B731" s="2"/>
      <c r="C731" s="2"/>
      <c r="D731" s="2"/>
      <c r="E731" s="2"/>
      <c r="F731" s="2"/>
      <c r="G731" s="2"/>
      <c r="H731" s="2"/>
      <c r="I731" s="2"/>
      <c r="J731" s="2"/>
      <c r="K731" s="2"/>
    </row>
    <row r="732" customFormat="false" ht="15.75" hidden="false" customHeight="false" outlineLevel="0" collapsed="false">
      <c r="A732" s="2"/>
      <c r="B732" s="2"/>
      <c r="C732" s="2"/>
      <c r="D732" s="2"/>
      <c r="E732" s="2"/>
      <c r="F732" s="2"/>
      <c r="G732" s="2"/>
      <c r="H732" s="2"/>
      <c r="I732" s="2"/>
      <c r="J732" s="2"/>
      <c r="K732" s="2"/>
    </row>
    <row r="733" customFormat="false" ht="15.75" hidden="false" customHeight="false" outlineLevel="0" collapsed="false">
      <c r="A733" s="2"/>
      <c r="B733" s="2"/>
      <c r="C733" s="2"/>
      <c r="D733" s="2"/>
      <c r="E733" s="2"/>
      <c r="F733" s="2"/>
      <c r="G733" s="2"/>
      <c r="H733" s="2"/>
      <c r="I733" s="2"/>
      <c r="J733" s="2"/>
      <c r="K733" s="2"/>
    </row>
    <row r="734" customFormat="false" ht="15.75" hidden="false" customHeight="false" outlineLevel="0" collapsed="false">
      <c r="A734" s="2"/>
      <c r="B734" s="2"/>
      <c r="C734" s="2"/>
      <c r="D734" s="2"/>
      <c r="E734" s="2"/>
      <c r="F734" s="2"/>
      <c r="G734" s="2"/>
      <c r="H734" s="2"/>
      <c r="I734" s="2"/>
      <c r="J734" s="2"/>
      <c r="K734" s="2"/>
    </row>
    <row r="735" customFormat="false" ht="15.75" hidden="false" customHeight="false" outlineLevel="0" collapsed="false">
      <c r="A735" s="2"/>
      <c r="B735" s="2"/>
      <c r="C735" s="2"/>
      <c r="D735" s="2"/>
      <c r="E735" s="2"/>
      <c r="F735" s="2"/>
      <c r="G735" s="2"/>
      <c r="H735" s="2"/>
      <c r="I735" s="2"/>
      <c r="J735" s="2"/>
      <c r="K735" s="2"/>
    </row>
    <row r="736" customFormat="false" ht="15.75" hidden="false" customHeight="false" outlineLevel="0" collapsed="false">
      <c r="A736" s="2"/>
      <c r="B736" s="2"/>
      <c r="C736" s="2"/>
      <c r="D736" s="2"/>
      <c r="E736" s="2"/>
      <c r="F736" s="2"/>
      <c r="G736" s="2"/>
      <c r="H736" s="2"/>
      <c r="I736" s="2"/>
      <c r="J736" s="2"/>
      <c r="K736" s="2"/>
    </row>
    <row r="737" customFormat="false" ht="15.75" hidden="false" customHeight="false" outlineLevel="0" collapsed="false">
      <c r="A737" s="2"/>
      <c r="B737" s="2"/>
      <c r="C737" s="2"/>
      <c r="D737" s="2"/>
      <c r="E737" s="2"/>
      <c r="F737" s="2"/>
      <c r="G737" s="2"/>
      <c r="H737" s="2"/>
      <c r="I737" s="2"/>
      <c r="J737" s="2"/>
      <c r="K737" s="2"/>
    </row>
    <row r="738" customFormat="false" ht="15.75" hidden="false" customHeight="false" outlineLevel="0" collapsed="false">
      <c r="A738" s="2"/>
      <c r="B738" s="2"/>
      <c r="C738" s="2"/>
      <c r="D738" s="2"/>
      <c r="E738" s="2"/>
      <c r="F738" s="2"/>
      <c r="G738" s="2"/>
      <c r="H738" s="2"/>
      <c r="I738" s="2"/>
      <c r="J738" s="2"/>
      <c r="K738" s="2"/>
    </row>
    <row r="739" customFormat="false" ht="15.75" hidden="false" customHeight="false" outlineLevel="0" collapsed="false">
      <c r="A739" s="2"/>
      <c r="B739" s="2"/>
      <c r="C739" s="2"/>
      <c r="D739" s="2"/>
      <c r="E739" s="2"/>
      <c r="F739" s="2"/>
      <c r="G739" s="2"/>
      <c r="H739" s="2"/>
      <c r="I739" s="2"/>
      <c r="J739" s="2"/>
      <c r="K739" s="2"/>
    </row>
    <row r="740" customFormat="false" ht="15.75" hidden="false" customHeight="false" outlineLevel="0" collapsed="false">
      <c r="A740" s="2"/>
      <c r="B740" s="2"/>
      <c r="C740" s="2"/>
      <c r="D740" s="2"/>
      <c r="E740" s="2"/>
      <c r="F740" s="2"/>
      <c r="G740" s="2"/>
      <c r="H740" s="2"/>
      <c r="I740" s="2"/>
      <c r="J740" s="2"/>
      <c r="K740" s="2"/>
    </row>
    <row r="741" customFormat="false" ht="15.75" hidden="false" customHeight="false" outlineLevel="0" collapsed="false">
      <c r="A741" s="2"/>
      <c r="B741" s="2"/>
      <c r="C741" s="2"/>
      <c r="D741" s="2"/>
      <c r="E741" s="2"/>
      <c r="F741" s="2"/>
      <c r="G741" s="2"/>
      <c r="H741" s="2"/>
      <c r="I741" s="2"/>
      <c r="J741" s="2"/>
      <c r="K741" s="2"/>
    </row>
    <row r="742" customFormat="false" ht="15.75" hidden="false" customHeight="false" outlineLevel="0" collapsed="false">
      <c r="A742" s="2"/>
      <c r="B742" s="2"/>
      <c r="C742" s="2"/>
      <c r="D742" s="2"/>
      <c r="E742" s="2"/>
      <c r="F742" s="2"/>
      <c r="G742" s="2"/>
      <c r="H742" s="2"/>
      <c r="I742" s="2"/>
      <c r="J742" s="2"/>
      <c r="K742" s="2"/>
    </row>
    <row r="743" customFormat="false" ht="15.75" hidden="false" customHeight="false" outlineLevel="0" collapsed="false">
      <c r="A743" s="2"/>
      <c r="B743" s="2"/>
      <c r="C743" s="2"/>
      <c r="D743" s="2"/>
      <c r="E743" s="2"/>
      <c r="F743" s="2"/>
      <c r="G743" s="2"/>
      <c r="H743" s="2"/>
      <c r="I743" s="2"/>
      <c r="J743" s="2"/>
      <c r="K743" s="2"/>
    </row>
    <row r="744" customFormat="false" ht="15.75" hidden="false" customHeight="false" outlineLevel="0" collapsed="false">
      <c r="A744" s="2"/>
      <c r="B744" s="2"/>
      <c r="C744" s="2"/>
      <c r="D744" s="2"/>
      <c r="E744" s="2"/>
      <c r="F744" s="2"/>
      <c r="G744" s="2"/>
      <c r="H744" s="2"/>
      <c r="I744" s="2"/>
      <c r="J744" s="2"/>
      <c r="K744" s="2"/>
    </row>
    <row r="745" customFormat="false" ht="15.75" hidden="false" customHeight="false" outlineLevel="0" collapsed="false">
      <c r="A745" s="2"/>
      <c r="B745" s="2"/>
      <c r="C745" s="2"/>
      <c r="D745" s="2"/>
      <c r="E745" s="2"/>
      <c r="F745" s="2"/>
      <c r="G745" s="2"/>
      <c r="H745" s="2"/>
      <c r="I745" s="2"/>
      <c r="J745" s="2"/>
      <c r="K745" s="2"/>
    </row>
    <row r="746" customFormat="false" ht="15.75" hidden="false" customHeight="false" outlineLevel="0" collapsed="false">
      <c r="A746" s="2"/>
      <c r="B746" s="2"/>
      <c r="C746" s="2"/>
      <c r="D746" s="2"/>
      <c r="E746" s="2"/>
      <c r="F746" s="2"/>
      <c r="G746" s="2"/>
      <c r="H746" s="2"/>
      <c r="I746" s="2"/>
      <c r="J746" s="2"/>
      <c r="K746" s="2"/>
    </row>
    <row r="747" customFormat="false" ht="15.75" hidden="false" customHeight="false" outlineLevel="0" collapsed="false">
      <c r="A747" s="2"/>
      <c r="B747" s="2"/>
      <c r="C747" s="2"/>
      <c r="D747" s="2"/>
      <c r="E747" s="2"/>
      <c r="F747" s="2"/>
      <c r="G747" s="2"/>
      <c r="H747" s="2"/>
      <c r="I747" s="2"/>
      <c r="J747" s="2"/>
      <c r="K747" s="2"/>
    </row>
    <row r="748" customFormat="false" ht="15.75" hidden="false" customHeight="false" outlineLevel="0" collapsed="false">
      <c r="A748" s="2"/>
      <c r="B748" s="2"/>
      <c r="C748" s="2"/>
      <c r="D748" s="2"/>
      <c r="E748" s="2"/>
      <c r="F748" s="2"/>
      <c r="G748" s="2"/>
      <c r="H748" s="2"/>
      <c r="I748" s="2"/>
      <c r="J748" s="2"/>
      <c r="K748" s="2"/>
    </row>
    <row r="749" customFormat="false" ht="15.75" hidden="false" customHeight="false" outlineLevel="0" collapsed="false">
      <c r="A749" s="2"/>
      <c r="B749" s="2"/>
      <c r="C749" s="2"/>
      <c r="D749" s="2"/>
      <c r="E749" s="2"/>
      <c r="F749" s="2"/>
      <c r="G749" s="2"/>
      <c r="H749" s="2"/>
      <c r="I749" s="2"/>
      <c r="J749" s="2"/>
      <c r="K749" s="2"/>
    </row>
    <row r="750" customFormat="false" ht="15.75" hidden="false" customHeight="false" outlineLevel="0" collapsed="false">
      <c r="A750" s="2"/>
      <c r="B750" s="2"/>
      <c r="C750" s="2"/>
      <c r="D750" s="2"/>
      <c r="E750" s="2"/>
      <c r="F750" s="2"/>
      <c r="G750" s="2"/>
      <c r="H750" s="2"/>
      <c r="I750" s="2"/>
      <c r="J750" s="2"/>
      <c r="K750" s="2"/>
    </row>
    <row r="751" customFormat="false" ht="15.75" hidden="false" customHeight="false" outlineLevel="0" collapsed="false">
      <c r="A751" s="2"/>
      <c r="B751" s="2"/>
      <c r="C751" s="2"/>
      <c r="D751" s="2"/>
      <c r="E751" s="2"/>
      <c r="F751" s="2"/>
      <c r="G751" s="2"/>
      <c r="H751" s="2"/>
      <c r="I751" s="2"/>
      <c r="J751" s="2"/>
      <c r="K751" s="2"/>
    </row>
    <row r="752" customFormat="false" ht="15.75" hidden="false" customHeight="false" outlineLevel="0" collapsed="false">
      <c r="A752" s="2"/>
      <c r="B752" s="2"/>
      <c r="C752" s="2"/>
      <c r="D752" s="2"/>
      <c r="E752" s="2"/>
      <c r="F752" s="2"/>
      <c r="G752" s="2"/>
      <c r="H752" s="2"/>
      <c r="I752" s="2"/>
      <c r="J752" s="2"/>
      <c r="K752" s="2"/>
    </row>
    <row r="753" customFormat="false" ht="15.75" hidden="false" customHeight="false" outlineLevel="0" collapsed="false">
      <c r="A753" s="2"/>
      <c r="B753" s="2"/>
      <c r="C753" s="2"/>
      <c r="D753" s="2"/>
      <c r="E753" s="2"/>
      <c r="F753" s="2"/>
      <c r="G753" s="2"/>
      <c r="H753" s="2"/>
      <c r="I753" s="2"/>
      <c r="J753" s="2"/>
      <c r="K753" s="2"/>
    </row>
    <row r="754" customFormat="false" ht="15.75" hidden="false" customHeight="false" outlineLevel="0" collapsed="false">
      <c r="A754" s="2"/>
      <c r="B754" s="2"/>
      <c r="C754" s="2"/>
      <c r="D754" s="2"/>
      <c r="E754" s="2"/>
      <c r="F754" s="2"/>
      <c r="G754" s="2"/>
      <c r="H754" s="2"/>
      <c r="I754" s="2"/>
      <c r="J754" s="2"/>
      <c r="K754" s="2"/>
    </row>
    <row r="755" customFormat="false" ht="15.75" hidden="false" customHeight="false" outlineLevel="0" collapsed="false">
      <c r="A755" s="2"/>
      <c r="B755" s="2"/>
      <c r="C755" s="2"/>
      <c r="D755" s="2"/>
      <c r="E755" s="2"/>
      <c r="F755" s="2"/>
      <c r="G755" s="2"/>
      <c r="H755" s="2"/>
      <c r="I755" s="2"/>
      <c r="J755" s="2"/>
      <c r="K755" s="2"/>
    </row>
    <row r="756" customFormat="false" ht="15.75" hidden="false" customHeight="false" outlineLevel="0" collapsed="false">
      <c r="A756" s="2"/>
      <c r="B756" s="2"/>
      <c r="C756" s="2"/>
      <c r="D756" s="2"/>
      <c r="E756" s="2"/>
      <c r="F756" s="2"/>
      <c r="G756" s="2"/>
      <c r="H756" s="2"/>
      <c r="I756" s="2"/>
      <c r="J756" s="2"/>
      <c r="K756" s="2"/>
    </row>
    <row r="757" customFormat="false" ht="15.75" hidden="false" customHeight="false" outlineLevel="0" collapsed="false">
      <c r="A757" s="2"/>
      <c r="B757" s="2"/>
      <c r="C757" s="2"/>
      <c r="D757" s="2"/>
      <c r="E757" s="2"/>
      <c r="F757" s="2"/>
      <c r="G757" s="2"/>
      <c r="H757" s="2"/>
      <c r="I757" s="2"/>
      <c r="J757" s="2"/>
      <c r="K757" s="2"/>
    </row>
    <row r="758" customFormat="false" ht="15.75" hidden="false" customHeight="false" outlineLevel="0" collapsed="false">
      <c r="A758" s="2"/>
      <c r="B758" s="2"/>
      <c r="C758" s="2"/>
      <c r="D758" s="2"/>
      <c r="E758" s="2"/>
      <c r="F758" s="2"/>
      <c r="G758" s="2"/>
      <c r="H758" s="2"/>
      <c r="I758" s="2"/>
      <c r="J758" s="2"/>
      <c r="K758" s="2"/>
    </row>
    <row r="759" customFormat="false" ht="15.75" hidden="false" customHeight="false" outlineLevel="0" collapsed="false">
      <c r="A759" s="2"/>
      <c r="B759" s="2"/>
      <c r="C759" s="2"/>
      <c r="D759" s="2"/>
      <c r="E759" s="2"/>
      <c r="F759" s="2"/>
      <c r="G759" s="2"/>
      <c r="H759" s="2"/>
      <c r="I759" s="2"/>
      <c r="J759" s="2"/>
      <c r="K759" s="2"/>
    </row>
    <row r="760" customFormat="false" ht="15.75" hidden="false" customHeight="false" outlineLevel="0" collapsed="false">
      <c r="A760" s="2"/>
      <c r="B760" s="2"/>
      <c r="C760" s="2"/>
      <c r="D760" s="2"/>
      <c r="E760" s="2"/>
      <c r="F760" s="2"/>
      <c r="G760" s="2"/>
      <c r="H760" s="2"/>
      <c r="I760" s="2"/>
      <c r="J760" s="2"/>
      <c r="K760" s="2"/>
    </row>
    <row r="761" customFormat="false" ht="15.75" hidden="false" customHeight="false" outlineLevel="0" collapsed="false">
      <c r="A761" s="2"/>
      <c r="B761" s="2"/>
      <c r="C761" s="2"/>
      <c r="D761" s="2"/>
      <c r="E761" s="2"/>
      <c r="F761" s="2"/>
      <c r="G761" s="2"/>
      <c r="H761" s="2"/>
      <c r="I761" s="2"/>
      <c r="J761" s="2"/>
      <c r="K761" s="2"/>
    </row>
    <row r="762" customFormat="false" ht="15.75" hidden="false" customHeight="false" outlineLevel="0" collapsed="false">
      <c r="A762" s="2"/>
      <c r="B762" s="2"/>
      <c r="C762" s="2"/>
      <c r="D762" s="2"/>
      <c r="E762" s="2"/>
      <c r="F762" s="2"/>
      <c r="G762" s="2"/>
      <c r="H762" s="2"/>
      <c r="I762" s="2"/>
      <c r="J762" s="2"/>
      <c r="K762" s="2"/>
    </row>
    <row r="763" customFormat="false" ht="15.75" hidden="false" customHeight="false" outlineLevel="0" collapsed="false">
      <c r="A763" s="2"/>
      <c r="B763" s="2"/>
      <c r="C763" s="2"/>
      <c r="D763" s="2"/>
      <c r="E763" s="2"/>
      <c r="F763" s="2"/>
      <c r="G763" s="2"/>
      <c r="H763" s="2"/>
      <c r="I763" s="2"/>
      <c r="J763" s="2"/>
      <c r="K763" s="2"/>
    </row>
    <row r="764" customFormat="false" ht="15.75" hidden="false" customHeight="false" outlineLevel="0" collapsed="false">
      <c r="A764" s="2"/>
      <c r="B764" s="2"/>
      <c r="C764" s="2"/>
      <c r="D764" s="2"/>
      <c r="E764" s="2"/>
      <c r="F764" s="2"/>
      <c r="G764" s="2"/>
      <c r="H764" s="2"/>
      <c r="I764" s="2"/>
      <c r="J764" s="2"/>
      <c r="K764" s="2"/>
    </row>
    <row r="765" customFormat="false" ht="15.75" hidden="false" customHeight="false" outlineLevel="0" collapsed="false">
      <c r="A765" s="2"/>
      <c r="B765" s="2"/>
      <c r="C765" s="2"/>
      <c r="D765" s="2"/>
      <c r="E765" s="2"/>
      <c r="F765" s="2"/>
      <c r="G765" s="2"/>
      <c r="H765" s="2"/>
      <c r="I765" s="2"/>
      <c r="J765" s="2"/>
      <c r="K765" s="2"/>
    </row>
    <row r="766" customFormat="false" ht="15.75" hidden="false" customHeight="false" outlineLevel="0" collapsed="false">
      <c r="A766" s="2"/>
      <c r="B766" s="2"/>
      <c r="C766" s="2"/>
      <c r="D766" s="2"/>
      <c r="E766" s="2"/>
      <c r="F766" s="2"/>
      <c r="G766" s="2"/>
      <c r="H766" s="2"/>
      <c r="I766" s="2"/>
      <c r="J766" s="2"/>
      <c r="K766" s="2"/>
    </row>
    <row r="767" customFormat="false" ht="15.75" hidden="false" customHeight="false" outlineLevel="0" collapsed="false">
      <c r="A767" s="2"/>
      <c r="B767" s="2"/>
      <c r="C767" s="2"/>
      <c r="D767" s="2"/>
      <c r="E767" s="2"/>
      <c r="F767" s="2"/>
      <c r="G767" s="2"/>
      <c r="H767" s="2"/>
      <c r="I767" s="2"/>
      <c r="J767" s="2"/>
      <c r="K767" s="2"/>
    </row>
    <row r="768" customFormat="false" ht="15.75" hidden="false" customHeight="false" outlineLevel="0" collapsed="false">
      <c r="A768" s="2"/>
      <c r="B768" s="2"/>
      <c r="C768" s="2"/>
      <c r="D768" s="2"/>
      <c r="E768" s="2"/>
      <c r="F768" s="2"/>
      <c r="G768" s="2"/>
      <c r="H768" s="2"/>
      <c r="I768" s="2"/>
      <c r="J768" s="2"/>
      <c r="K768" s="2"/>
    </row>
    <row r="769" customFormat="false" ht="15.75" hidden="false" customHeight="false" outlineLevel="0" collapsed="false">
      <c r="A769" s="2"/>
      <c r="B769" s="2"/>
      <c r="C769" s="2"/>
      <c r="D769" s="2"/>
      <c r="E769" s="2"/>
      <c r="F769" s="2"/>
      <c r="G769" s="2"/>
      <c r="H769" s="2"/>
      <c r="I769" s="2"/>
      <c r="J769" s="2"/>
      <c r="K769" s="2"/>
    </row>
    <row r="770" customFormat="false" ht="15.75" hidden="false" customHeight="false" outlineLevel="0" collapsed="false">
      <c r="A770" s="2"/>
      <c r="B770" s="2"/>
      <c r="C770" s="2"/>
      <c r="D770" s="2"/>
      <c r="E770" s="2"/>
      <c r="F770" s="2"/>
      <c r="G770" s="2"/>
      <c r="H770" s="2"/>
      <c r="I770" s="2"/>
      <c r="J770" s="2"/>
      <c r="K770" s="2"/>
    </row>
    <row r="771" customFormat="false" ht="15.75" hidden="false" customHeight="false" outlineLevel="0" collapsed="false">
      <c r="A771" s="2"/>
      <c r="B771" s="2"/>
      <c r="C771" s="2"/>
      <c r="D771" s="2"/>
      <c r="E771" s="2"/>
      <c r="F771" s="2"/>
      <c r="G771" s="2"/>
      <c r="H771" s="2"/>
      <c r="I771" s="2"/>
      <c r="J771" s="2"/>
      <c r="K771" s="2"/>
    </row>
    <row r="772" customFormat="false" ht="15.75" hidden="false" customHeight="false" outlineLevel="0" collapsed="false">
      <c r="A772" s="2"/>
      <c r="B772" s="2"/>
      <c r="C772" s="2"/>
      <c r="D772" s="2"/>
      <c r="E772" s="2"/>
      <c r="F772" s="2"/>
      <c r="G772" s="2"/>
      <c r="H772" s="2"/>
      <c r="I772" s="2"/>
      <c r="J772" s="2"/>
      <c r="K772" s="2"/>
    </row>
    <row r="773" customFormat="false" ht="15.75" hidden="false" customHeight="false" outlineLevel="0" collapsed="false">
      <c r="A773" s="2"/>
      <c r="B773" s="2"/>
      <c r="C773" s="2"/>
      <c r="D773" s="2"/>
      <c r="E773" s="2"/>
      <c r="F773" s="2"/>
      <c r="G773" s="2"/>
      <c r="H773" s="2"/>
      <c r="I773" s="2"/>
      <c r="J773" s="2"/>
      <c r="K773" s="2"/>
    </row>
    <row r="774" customFormat="false" ht="15.75" hidden="false" customHeight="false" outlineLevel="0" collapsed="false">
      <c r="A774" s="2"/>
      <c r="B774" s="2"/>
      <c r="C774" s="2"/>
      <c r="D774" s="2"/>
      <c r="E774" s="2"/>
      <c r="F774" s="2"/>
      <c r="G774" s="2"/>
      <c r="H774" s="2"/>
      <c r="I774" s="2"/>
      <c r="J774" s="2"/>
      <c r="K774" s="2"/>
    </row>
    <row r="775" customFormat="false" ht="15.75" hidden="false" customHeight="false" outlineLevel="0" collapsed="false">
      <c r="A775" s="2"/>
      <c r="B775" s="2"/>
      <c r="C775" s="2"/>
      <c r="D775" s="2"/>
      <c r="E775" s="2"/>
      <c r="F775" s="2"/>
      <c r="G775" s="2"/>
      <c r="H775" s="2"/>
      <c r="I775" s="2"/>
      <c r="J775" s="2"/>
      <c r="K775" s="2"/>
    </row>
    <row r="776" customFormat="false" ht="15.75" hidden="false" customHeight="false" outlineLevel="0" collapsed="false">
      <c r="A776" s="2"/>
      <c r="B776" s="2"/>
      <c r="C776" s="2"/>
      <c r="D776" s="2"/>
      <c r="E776" s="2"/>
      <c r="F776" s="2"/>
      <c r="G776" s="2"/>
      <c r="H776" s="2"/>
      <c r="I776" s="2"/>
      <c r="J776" s="2"/>
      <c r="K776" s="2"/>
    </row>
    <row r="777" customFormat="false" ht="15.75" hidden="false" customHeight="false" outlineLevel="0" collapsed="false">
      <c r="A777" s="2"/>
      <c r="B777" s="2"/>
      <c r="C777" s="2"/>
      <c r="D777" s="2"/>
      <c r="E777" s="2"/>
      <c r="F777" s="2"/>
      <c r="G777" s="2"/>
      <c r="H777" s="2"/>
      <c r="I777" s="2"/>
      <c r="J777" s="2"/>
      <c r="K777" s="2"/>
    </row>
    <row r="778" customFormat="false" ht="15.75" hidden="false" customHeight="false" outlineLevel="0" collapsed="false">
      <c r="A778" s="2"/>
      <c r="B778" s="2"/>
      <c r="C778" s="2"/>
      <c r="D778" s="2"/>
      <c r="E778" s="2"/>
      <c r="F778" s="2"/>
      <c r="G778" s="2"/>
      <c r="H778" s="2"/>
      <c r="I778" s="2"/>
      <c r="J778" s="2"/>
      <c r="K778" s="2"/>
    </row>
    <row r="779" customFormat="false" ht="15.75" hidden="false" customHeight="false" outlineLevel="0" collapsed="false">
      <c r="A779" s="2"/>
      <c r="B779" s="2"/>
      <c r="C779" s="2"/>
      <c r="D779" s="2"/>
      <c r="E779" s="2"/>
      <c r="F779" s="2"/>
      <c r="G779" s="2"/>
      <c r="H779" s="2"/>
      <c r="I779" s="2"/>
      <c r="J779" s="2"/>
      <c r="K779" s="2"/>
    </row>
    <row r="780" customFormat="false" ht="15.75" hidden="false" customHeight="false" outlineLevel="0" collapsed="false">
      <c r="A780" s="2"/>
      <c r="B780" s="2"/>
      <c r="C780" s="2"/>
      <c r="D780" s="2"/>
      <c r="E780" s="2"/>
      <c r="F780" s="2"/>
      <c r="G780" s="2"/>
      <c r="H780" s="2"/>
      <c r="I780" s="2"/>
      <c r="J780" s="2"/>
      <c r="K780" s="2"/>
    </row>
    <row r="781" customFormat="false" ht="15.75" hidden="false" customHeight="false" outlineLevel="0" collapsed="false">
      <c r="A781" s="2"/>
      <c r="B781" s="2"/>
      <c r="C781" s="2"/>
      <c r="D781" s="2"/>
      <c r="E781" s="2"/>
      <c r="F781" s="2"/>
      <c r="G781" s="2"/>
      <c r="H781" s="2"/>
      <c r="I781" s="2"/>
      <c r="J781" s="2"/>
      <c r="K781" s="2"/>
    </row>
    <row r="782" customFormat="false" ht="15.75" hidden="false" customHeight="false" outlineLevel="0" collapsed="false">
      <c r="A782" s="2"/>
      <c r="B782" s="2"/>
      <c r="C782" s="2"/>
      <c r="D782" s="2"/>
      <c r="E782" s="2"/>
      <c r="F782" s="2"/>
      <c r="G782" s="2"/>
      <c r="H782" s="2"/>
      <c r="I782" s="2"/>
      <c r="J782" s="2"/>
      <c r="K782" s="2"/>
    </row>
    <row r="783" customFormat="false" ht="15.75" hidden="false" customHeight="false" outlineLevel="0" collapsed="false">
      <c r="A783" s="2"/>
      <c r="B783" s="2"/>
      <c r="C783" s="2"/>
      <c r="D783" s="2"/>
      <c r="E783" s="2"/>
      <c r="F783" s="2"/>
      <c r="G783" s="2"/>
      <c r="H783" s="2"/>
      <c r="I783" s="2"/>
      <c r="J783" s="2"/>
      <c r="K783" s="2"/>
    </row>
    <row r="784" customFormat="false" ht="15.75" hidden="false" customHeight="false" outlineLevel="0" collapsed="false">
      <c r="A784" s="2"/>
      <c r="B784" s="2"/>
      <c r="C784" s="2"/>
      <c r="D784" s="2"/>
      <c r="E784" s="2"/>
      <c r="F784" s="2"/>
      <c r="G784" s="2"/>
      <c r="H784" s="2"/>
      <c r="I784" s="2"/>
      <c r="J784" s="2"/>
      <c r="K784" s="2"/>
    </row>
    <row r="785" customFormat="false" ht="15.75" hidden="false" customHeight="false" outlineLevel="0" collapsed="false">
      <c r="A785" s="2"/>
      <c r="B785" s="2"/>
      <c r="C785" s="2"/>
      <c r="D785" s="2"/>
      <c r="E785" s="2"/>
      <c r="F785" s="2"/>
      <c r="G785" s="2"/>
      <c r="H785" s="2"/>
      <c r="I785" s="2"/>
      <c r="J785" s="2"/>
      <c r="K785" s="2"/>
    </row>
    <row r="786" customFormat="false" ht="15.75" hidden="false" customHeight="false" outlineLevel="0" collapsed="false">
      <c r="A786" s="2"/>
      <c r="B786" s="2"/>
      <c r="C786" s="2"/>
      <c r="D786" s="2"/>
      <c r="E786" s="2"/>
      <c r="F786" s="2"/>
      <c r="G786" s="2"/>
      <c r="H786" s="2"/>
      <c r="I786" s="2"/>
      <c r="J786" s="2"/>
      <c r="K786" s="2"/>
    </row>
    <row r="787" customFormat="false" ht="15.75" hidden="false" customHeight="false" outlineLevel="0" collapsed="false">
      <c r="A787" s="2"/>
      <c r="B787" s="2"/>
      <c r="C787" s="2"/>
      <c r="D787" s="2"/>
      <c r="E787" s="2"/>
      <c r="F787" s="2"/>
      <c r="G787" s="2"/>
      <c r="H787" s="2"/>
      <c r="I787" s="2"/>
      <c r="J787" s="2"/>
      <c r="K787" s="2"/>
    </row>
    <row r="788" customFormat="false" ht="15.75" hidden="false" customHeight="false" outlineLevel="0" collapsed="false">
      <c r="A788" s="2"/>
      <c r="B788" s="2"/>
      <c r="C788" s="2"/>
      <c r="D788" s="2"/>
      <c r="E788" s="2"/>
      <c r="F788" s="2"/>
      <c r="G788" s="2"/>
      <c r="H788" s="2"/>
      <c r="I788" s="2"/>
      <c r="J788" s="2"/>
      <c r="K788" s="2"/>
    </row>
    <row r="789" customFormat="false" ht="15.75" hidden="false" customHeight="false" outlineLevel="0" collapsed="false">
      <c r="A789" s="2"/>
      <c r="B789" s="2"/>
      <c r="C789" s="2"/>
      <c r="D789" s="2"/>
      <c r="E789" s="2"/>
      <c r="F789" s="2"/>
      <c r="G789" s="2"/>
      <c r="H789" s="2"/>
      <c r="I789" s="2"/>
      <c r="J789" s="2"/>
      <c r="K789" s="2"/>
    </row>
    <row r="790" customFormat="false" ht="15.75" hidden="false" customHeight="false" outlineLevel="0" collapsed="false">
      <c r="A790" s="2"/>
      <c r="B790" s="2"/>
      <c r="C790" s="2"/>
      <c r="D790" s="2"/>
      <c r="E790" s="2"/>
      <c r="F790" s="2"/>
      <c r="G790" s="2"/>
      <c r="H790" s="2"/>
      <c r="I790" s="2"/>
      <c r="J790" s="2"/>
      <c r="K790" s="2"/>
    </row>
    <row r="791" customFormat="false" ht="15.75" hidden="false" customHeight="false" outlineLevel="0" collapsed="false">
      <c r="A791" s="2"/>
      <c r="B791" s="2"/>
      <c r="C791" s="2"/>
      <c r="D791" s="2"/>
      <c r="E791" s="2"/>
      <c r="F791" s="2"/>
      <c r="G791" s="2"/>
      <c r="H791" s="2"/>
      <c r="I791" s="2"/>
      <c r="J791" s="2"/>
      <c r="K791" s="2"/>
    </row>
    <row r="792" customFormat="false" ht="15.75" hidden="false" customHeight="false" outlineLevel="0" collapsed="false">
      <c r="A792" s="2"/>
      <c r="B792" s="2"/>
      <c r="C792" s="2"/>
      <c r="D792" s="2"/>
      <c r="E792" s="2"/>
      <c r="F792" s="2"/>
      <c r="G792" s="2"/>
      <c r="H792" s="2"/>
      <c r="I792" s="2"/>
      <c r="J792" s="2"/>
      <c r="K792" s="2"/>
    </row>
    <row r="793" customFormat="false" ht="15.75" hidden="false" customHeight="false" outlineLevel="0" collapsed="false">
      <c r="A793" s="2"/>
      <c r="B793" s="2"/>
      <c r="C793" s="2"/>
      <c r="D793" s="2"/>
      <c r="E793" s="2"/>
      <c r="F793" s="2"/>
      <c r="G793" s="2"/>
      <c r="H793" s="2"/>
      <c r="I793" s="2"/>
      <c r="J793" s="2"/>
      <c r="K793" s="2"/>
    </row>
    <row r="794" customFormat="false" ht="15.75" hidden="false" customHeight="false" outlineLevel="0" collapsed="false">
      <c r="A794" s="2"/>
      <c r="B794" s="2"/>
      <c r="C794" s="2"/>
      <c r="D794" s="2"/>
      <c r="E794" s="2"/>
      <c r="F794" s="2"/>
      <c r="G794" s="2"/>
      <c r="H794" s="2"/>
      <c r="I794" s="2"/>
      <c r="J794" s="2"/>
      <c r="K794" s="2"/>
    </row>
    <row r="795" customFormat="false" ht="15.75" hidden="false" customHeight="false" outlineLevel="0" collapsed="false">
      <c r="A795" s="2"/>
      <c r="B795" s="2"/>
      <c r="C795" s="2"/>
      <c r="D795" s="2"/>
      <c r="E795" s="2"/>
      <c r="F795" s="2"/>
      <c r="G795" s="2"/>
      <c r="H795" s="2"/>
      <c r="I795" s="2"/>
      <c r="J795" s="2"/>
      <c r="K795" s="2"/>
    </row>
    <row r="796" customFormat="false" ht="15.75" hidden="false" customHeight="false" outlineLevel="0" collapsed="false">
      <c r="A796" s="2"/>
      <c r="B796" s="2"/>
      <c r="C796" s="2"/>
      <c r="D796" s="2"/>
      <c r="E796" s="2"/>
      <c r="F796" s="2"/>
      <c r="G796" s="2"/>
      <c r="H796" s="2"/>
      <c r="I796" s="2"/>
      <c r="J796" s="2"/>
      <c r="K796" s="2"/>
    </row>
    <row r="797" customFormat="false" ht="15.75" hidden="false" customHeight="false" outlineLevel="0" collapsed="false">
      <c r="A797" s="2"/>
      <c r="B797" s="2"/>
      <c r="C797" s="2"/>
      <c r="D797" s="2"/>
      <c r="E797" s="2"/>
      <c r="F797" s="2"/>
      <c r="G797" s="2"/>
      <c r="H797" s="2"/>
      <c r="I797" s="2"/>
      <c r="J797" s="2"/>
      <c r="K797" s="2"/>
    </row>
    <row r="798" customFormat="false" ht="15.75" hidden="false" customHeight="false" outlineLevel="0" collapsed="false">
      <c r="A798" s="2"/>
      <c r="B798" s="2"/>
      <c r="C798" s="2"/>
      <c r="D798" s="2"/>
      <c r="E798" s="2"/>
      <c r="F798" s="2"/>
      <c r="G798" s="2"/>
      <c r="H798" s="2"/>
      <c r="I798" s="2"/>
      <c r="J798" s="2"/>
      <c r="K798" s="2"/>
    </row>
    <row r="799" customFormat="false" ht="15.75" hidden="false" customHeight="false" outlineLevel="0" collapsed="false">
      <c r="A799" s="2"/>
      <c r="B799" s="2"/>
      <c r="C799" s="2"/>
      <c r="D799" s="2"/>
      <c r="E799" s="2"/>
      <c r="F799" s="2"/>
      <c r="G799" s="2"/>
      <c r="H799" s="2"/>
      <c r="I799" s="2"/>
      <c r="J799" s="2"/>
      <c r="K799" s="2"/>
    </row>
    <row r="800" customFormat="false" ht="15.75" hidden="false" customHeight="false" outlineLevel="0" collapsed="false">
      <c r="A800" s="2"/>
      <c r="B800" s="2"/>
      <c r="C800" s="2"/>
      <c r="D800" s="2"/>
      <c r="E800" s="2"/>
      <c r="F800" s="2"/>
      <c r="G800" s="2"/>
      <c r="H800" s="2"/>
      <c r="I800" s="2"/>
      <c r="J800" s="2"/>
      <c r="K800" s="2"/>
    </row>
    <row r="801" customFormat="false" ht="15.75" hidden="false" customHeight="false" outlineLevel="0" collapsed="false">
      <c r="A801" s="2"/>
      <c r="B801" s="2"/>
      <c r="C801" s="2"/>
      <c r="D801" s="2"/>
      <c r="E801" s="2"/>
      <c r="F801" s="2"/>
      <c r="G801" s="2"/>
      <c r="H801" s="2"/>
      <c r="I801" s="2"/>
      <c r="J801" s="2"/>
      <c r="K801" s="2"/>
    </row>
    <row r="802" customFormat="false" ht="15.75" hidden="false" customHeight="false" outlineLevel="0" collapsed="false">
      <c r="A802" s="2"/>
      <c r="B802" s="2"/>
      <c r="C802" s="2"/>
      <c r="D802" s="2"/>
      <c r="E802" s="2"/>
      <c r="F802" s="2"/>
      <c r="G802" s="2"/>
      <c r="H802" s="2"/>
      <c r="I802" s="2"/>
      <c r="J802" s="2"/>
      <c r="K802" s="2"/>
    </row>
    <row r="803" customFormat="false" ht="15.75" hidden="false" customHeight="false" outlineLevel="0" collapsed="false">
      <c r="A803" s="2"/>
      <c r="B803" s="2"/>
      <c r="C803" s="2"/>
      <c r="D803" s="2"/>
      <c r="E803" s="2"/>
      <c r="F803" s="2"/>
      <c r="G803" s="2"/>
      <c r="H803" s="2"/>
      <c r="I803" s="2"/>
      <c r="J803" s="2"/>
      <c r="K803" s="2"/>
    </row>
    <row r="804" customFormat="false" ht="15.75" hidden="false" customHeight="false" outlineLevel="0" collapsed="false">
      <c r="A804" s="2"/>
      <c r="B804" s="2"/>
      <c r="C804" s="2"/>
      <c r="D804" s="2"/>
      <c r="E804" s="2"/>
      <c r="F804" s="2"/>
      <c r="G804" s="2"/>
      <c r="H804" s="2"/>
      <c r="I804" s="2"/>
      <c r="J804" s="2"/>
      <c r="K804" s="2"/>
    </row>
    <row r="805" customFormat="false" ht="15.75" hidden="false" customHeight="false" outlineLevel="0" collapsed="false">
      <c r="A805" s="2"/>
      <c r="B805" s="2"/>
      <c r="C805" s="2"/>
      <c r="D805" s="2"/>
      <c r="E805" s="2"/>
      <c r="F805" s="2"/>
      <c r="G805" s="2"/>
      <c r="H805" s="2"/>
      <c r="I805" s="2"/>
      <c r="J805" s="2"/>
      <c r="K805" s="2"/>
    </row>
    <row r="806" customFormat="false" ht="15.75" hidden="false" customHeight="false" outlineLevel="0" collapsed="false">
      <c r="A806" s="2"/>
      <c r="B806" s="2"/>
      <c r="C806" s="2"/>
      <c r="D806" s="2"/>
      <c r="E806" s="2"/>
      <c r="F806" s="2"/>
      <c r="G806" s="2"/>
      <c r="H806" s="2"/>
      <c r="I806" s="2"/>
      <c r="J806" s="2"/>
      <c r="K806" s="2"/>
    </row>
    <row r="807" customFormat="false" ht="15.75" hidden="false" customHeight="false" outlineLevel="0" collapsed="false">
      <c r="A807" s="2"/>
      <c r="B807" s="2"/>
      <c r="C807" s="2"/>
      <c r="D807" s="2"/>
      <c r="E807" s="2"/>
      <c r="F807" s="2"/>
      <c r="G807" s="2"/>
      <c r="H807" s="2"/>
      <c r="I807" s="2"/>
      <c r="J807" s="2"/>
      <c r="K807" s="2"/>
    </row>
    <row r="808" customFormat="false" ht="15.75" hidden="false" customHeight="false" outlineLevel="0" collapsed="false">
      <c r="A808" s="2"/>
      <c r="B808" s="2"/>
      <c r="C808" s="2"/>
      <c r="D808" s="2"/>
      <c r="E808" s="2"/>
      <c r="F808" s="2"/>
      <c r="G808" s="2"/>
      <c r="H808" s="2"/>
      <c r="I808" s="2"/>
      <c r="J808" s="2"/>
      <c r="K808" s="2"/>
    </row>
    <row r="809" customFormat="false" ht="15.75" hidden="false" customHeight="false" outlineLevel="0" collapsed="false">
      <c r="A809" s="2"/>
      <c r="B809" s="2"/>
      <c r="C809" s="2"/>
      <c r="D809" s="2"/>
      <c r="E809" s="2"/>
      <c r="F809" s="2"/>
      <c r="G809" s="2"/>
      <c r="H809" s="2"/>
      <c r="I809" s="2"/>
      <c r="J809" s="2"/>
      <c r="K809" s="2"/>
    </row>
    <row r="810" customFormat="false" ht="15.75" hidden="false" customHeight="false" outlineLevel="0" collapsed="false">
      <c r="A810" s="2"/>
      <c r="B810" s="2"/>
      <c r="C810" s="2"/>
      <c r="D810" s="2"/>
      <c r="E810" s="2"/>
      <c r="F810" s="2"/>
      <c r="G810" s="2"/>
      <c r="H810" s="2"/>
      <c r="I810" s="2"/>
      <c r="J810" s="2"/>
      <c r="K810" s="2"/>
    </row>
    <row r="811" customFormat="false" ht="15.75" hidden="false" customHeight="false" outlineLevel="0" collapsed="false">
      <c r="A811" s="2"/>
      <c r="B811" s="2"/>
      <c r="C811" s="2"/>
      <c r="D811" s="2"/>
      <c r="E811" s="2"/>
      <c r="F811" s="2"/>
      <c r="G811" s="2"/>
      <c r="H811" s="2"/>
      <c r="I811" s="2"/>
      <c r="J811" s="2"/>
      <c r="K811" s="2"/>
    </row>
    <row r="812" customFormat="false" ht="15.75" hidden="false" customHeight="false" outlineLevel="0" collapsed="false">
      <c r="A812" s="2"/>
      <c r="B812" s="2"/>
      <c r="C812" s="2"/>
      <c r="D812" s="2"/>
      <c r="E812" s="2"/>
      <c r="F812" s="2"/>
      <c r="G812" s="2"/>
      <c r="H812" s="2"/>
      <c r="I812" s="2"/>
      <c r="J812" s="2"/>
      <c r="K812" s="2"/>
    </row>
    <row r="813" customFormat="false" ht="15.75" hidden="false" customHeight="false" outlineLevel="0" collapsed="false">
      <c r="A813" s="2"/>
      <c r="B813" s="2"/>
      <c r="C813" s="2"/>
      <c r="D813" s="2"/>
      <c r="E813" s="2"/>
      <c r="F813" s="2"/>
      <c r="G813" s="2"/>
      <c r="H813" s="2"/>
      <c r="I813" s="2"/>
      <c r="J813" s="2"/>
      <c r="K813" s="2"/>
    </row>
    <row r="814" customFormat="false" ht="15.75" hidden="false" customHeight="false" outlineLevel="0" collapsed="false">
      <c r="A814" s="2"/>
      <c r="B814" s="2"/>
      <c r="C814" s="2"/>
      <c r="D814" s="2"/>
      <c r="E814" s="2"/>
      <c r="F814" s="2"/>
      <c r="G814" s="2"/>
      <c r="H814" s="2"/>
      <c r="I814" s="2"/>
      <c r="J814" s="2"/>
      <c r="K814" s="2"/>
    </row>
    <row r="815" customFormat="false" ht="15.75" hidden="false" customHeight="false" outlineLevel="0" collapsed="false">
      <c r="A815" s="2"/>
      <c r="B815" s="2"/>
      <c r="C815" s="2"/>
      <c r="D815" s="2"/>
      <c r="E815" s="2"/>
      <c r="F815" s="2"/>
      <c r="G815" s="2"/>
      <c r="H815" s="2"/>
      <c r="I815" s="2"/>
      <c r="J815" s="2"/>
      <c r="K815" s="2"/>
    </row>
    <row r="816" customFormat="false" ht="15.75" hidden="false" customHeight="false" outlineLevel="0" collapsed="false">
      <c r="A816" s="2"/>
      <c r="B816" s="2"/>
      <c r="C816" s="2"/>
      <c r="D816" s="2"/>
      <c r="E816" s="2"/>
      <c r="F816" s="2"/>
      <c r="G816" s="2"/>
      <c r="H816" s="2"/>
      <c r="I816" s="2"/>
      <c r="J816" s="2"/>
      <c r="K816" s="2"/>
    </row>
    <row r="817" customFormat="false" ht="15.75" hidden="false" customHeight="false" outlineLevel="0" collapsed="false">
      <c r="A817" s="2"/>
      <c r="B817" s="2"/>
      <c r="C817" s="2"/>
      <c r="D817" s="2"/>
      <c r="E817" s="2"/>
      <c r="F817" s="2"/>
      <c r="G817" s="2"/>
      <c r="H817" s="2"/>
      <c r="I817" s="2"/>
      <c r="J817" s="2"/>
      <c r="K817" s="2"/>
    </row>
    <row r="818" customFormat="false" ht="15.75" hidden="false" customHeight="false" outlineLevel="0" collapsed="false">
      <c r="A818" s="2"/>
      <c r="B818" s="2"/>
      <c r="C818" s="2"/>
      <c r="D818" s="2"/>
      <c r="E818" s="2"/>
      <c r="F818" s="2"/>
      <c r="G818" s="2"/>
      <c r="H818" s="2"/>
      <c r="I818" s="2"/>
      <c r="J818" s="2"/>
      <c r="K818" s="2"/>
    </row>
    <row r="819" customFormat="false" ht="15.75" hidden="false" customHeight="false" outlineLevel="0" collapsed="false">
      <c r="A819" s="2"/>
      <c r="B819" s="2"/>
      <c r="C819" s="2"/>
      <c r="D819" s="2"/>
      <c r="E819" s="2"/>
      <c r="F819" s="2"/>
      <c r="G819" s="2"/>
      <c r="H819" s="2"/>
      <c r="I819" s="2"/>
      <c r="J819" s="2"/>
      <c r="K819" s="2"/>
    </row>
    <row r="820" customFormat="false" ht="15.75" hidden="false" customHeight="false" outlineLevel="0" collapsed="false">
      <c r="A820" s="2"/>
      <c r="B820" s="2"/>
      <c r="C820" s="2"/>
      <c r="D820" s="2"/>
      <c r="E820" s="2"/>
      <c r="F820" s="2"/>
      <c r="G820" s="2"/>
      <c r="H820" s="2"/>
      <c r="I820" s="2"/>
      <c r="J820" s="2"/>
      <c r="K820" s="2"/>
    </row>
    <row r="821" customFormat="false" ht="15.75" hidden="false" customHeight="false" outlineLevel="0" collapsed="false">
      <c r="A821" s="2"/>
      <c r="B821" s="2"/>
      <c r="C821" s="2"/>
      <c r="D821" s="2"/>
      <c r="E821" s="2"/>
      <c r="F821" s="2"/>
      <c r="G821" s="2"/>
      <c r="H821" s="2"/>
      <c r="I821" s="2"/>
      <c r="J821" s="2"/>
      <c r="K821" s="2"/>
    </row>
    <row r="822" customFormat="false" ht="15.75" hidden="false" customHeight="false" outlineLevel="0" collapsed="false">
      <c r="A822" s="2"/>
      <c r="B822" s="2"/>
      <c r="C822" s="2"/>
      <c r="D822" s="2"/>
      <c r="E822" s="2"/>
      <c r="F822" s="2"/>
      <c r="G822" s="2"/>
      <c r="H822" s="2"/>
      <c r="I822" s="2"/>
      <c r="J822" s="2"/>
      <c r="K822" s="2"/>
    </row>
    <row r="823" customFormat="false" ht="15.75" hidden="false" customHeight="false" outlineLevel="0" collapsed="false">
      <c r="A823" s="2"/>
      <c r="B823" s="2"/>
      <c r="C823" s="2"/>
      <c r="D823" s="2"/>
      <c r="E823" s="2"/>
      <c r="F823" s="2"/>
      <c r="G823" s="2"/>
      <c r="H823" s="2"/>
      <c r="I823" s="2"/>
      <c r="J823" s="2"/>
      <c r="K823" s="2"/>
    </row>
    <row r="824" customFormat="false" ht="15.75" hidden="false" customHeight="false" outlineLevel="0" collapsed="false">
      <c r="A824" s="2"/>
      <c r="B824" s="2"/>
      <c r="C824" s="2"/>
      <c r="D824" s="2"/>
      <c r="E824" s="2"/>
      <c r="F824" s="2"/>
      <c r="G824" s="2"/>
      <c r="H824" s="2"/>
      <c r="I824" s="2"/>
      <c r="J824" s="2"/>
      <c r="K824" s="2"/>
    </row>
    <row r="825" customFormat="false" ht="15.75" hidden="false" customHeight="false" outlineLevel="0" collapsed="false">
      <c r="A825" s="2"/>
      <c r="B825" s="2"/>
      <c r="C825" s="2"/>
      <c r="D825" s="2"/>
      <c r="E825" s="2"/>
      <c r="F825" s="2"/>
      <c r="G825" s="2"/>
      <c r="H825" s="2"/>
      <c r="I825" s="2"/>
      <c r="J825" s="2"/>
      <c r="K825" s="2"/>
    </row>
    <row r="826" customFormat="false" ht="15.75" hidden="false" customHeight="false" outlineLevel="0" collapsed="false">
      <c r="A826" s="2"/>
      <c r="B826" s="2"/>
      <c r="C826" s="2"/>
      <c r="D826" s="2"/>
      <c r="E826" s="2"/>
      <c r="F826" s="2"/>
      <c r="G826" s="2"/>
      <c r="H826" s="2"/>
      <c r="I826" s="2"/>
      <c r="J826" s="2"/>
      <c r="K826" s="2"/>
    </row>
    <row r="827" customFormat="false" ht="15.75" hidden="false" customHeight="false" outlineLevel="0" collapsed="false">
      <c r="A827" s="2"/>
      <c r="B827" s="2"/>
      <c r="C827" s="2"/>
      <c r="D827" s="2"/>
      <c r="E827" s="2"/>
      <c r="F827" s="2"/>
      <c r="G827" s="2"/>
      <c r="H827" s="2"/>
      <c r="I827" s="2"/>
      <c r="J827" s="2"/>
      <c r="K827" s="2"/>
    </row>
    <row r="828" customFormat="false" ht="15.75" hidden="false" customHeight="false" outlineLevel="0" collapsed="false">
      <c r="A828" s="2"/>
      <c r="B828" s="2"/>
      <c r="C828" s="2"/>
      <c r="D828" s="2"/>
      <c r="E828" s="2"/>
      <c r="F828" s="2"/>
      <c r="G828" s="2"/>
      <c r="H828" s="2"/>
      <c r="I828" s="2"/>
      <c r="J828" s="2"/>
      <c r="K828" s="2"/>
    </row>
    <row r="829" customFormat="false" ht="15.75" hidden="false" customHeight="false" outlineLevel="0" collapsed="false">
      <c r="A829" s="2"/>
      <c r="B829" s="2"/>
      <c r="C829" s="2"/>
      <c r="D829" s="2"/>
      <c r="E829" s="2"/>
      <c r="F829" s="2"/>
      <c r="G829" s="2"/>
      <c r="H829" s="2"/>
      <c r="I829" s="2"/>
      <c r="J829" s="2"/>
      <c r="K829" s="2"/>
    </row>
    <row r="830" customFormat="false" ht="15.75" hidden="false" customHeight="false" outlineLevel="0" collapsed="false">
      <c r="A830" s="2"/>
      <c r="B830" s="2"/>
      <c r="C830" s="2"/>
      <c r="D830" s="2"/>
      <c r="E830" s="2"/>
      <c r="F830" s="2"/>
      <c r="G830" s="2"/>
      <c r="H830" s="2"/>
      <c r="I830" s="2"/>
      <c r="J830" s="2"/>
      <c r="K830" s="2"/>
    </row>
    <row r="831" customFormat="false" ht="15.75" hidden="false" customHeight="false" outlineLevel="0" collapsed="false">
      <c r="A831" s="2"/>
      <c r="B831" s="2"/>
      <c r="C831" s="2"/>
      <c r="D831" s="2"/>
      <c r="E831" s="2"/>
      <c r="F831" s="2"/>
      <c r="G831" s="2"/>
      <c r="H831" s="2"/>
      <c r="I831" s="2"/>
      <c r="J831" s="2"/>
      <c r="K831" s="2"/>
    </row>
    <row r="832" customFormat="false" ht="15.75" hidden="false" customHeight="false" outlineLevel="0" collapsed="false">
      <c r="A832" s="2"/>
      <c r="B832" s="2"/>
      <c r="C832" s="2"/>
      <c r="D832" s="2"/>
      <c r="E832" s="2"/>
      <c r="F832" s="2"/>
      <c r="G832" s="2"/>
      <c r="H832" s="2"/>
      <c r="I832" s="2"/>
      <c r="J832" s="2"/>
      <c r="K832" s="2"/>
    </row>
    <row r="833" customFormat="false" ht="15.75" hidden="false" customHeight="false" outlineLevel="0" collapsed="false">
      <c r="A833" s="2"/>
      <c r="B833" s="2"/>
      <c r="C833" s="2"/>
      <c r="D833" s="2"/>
      <c r="E833" s="2"/>
      <c r="F833" s="2"/>
      <c r="G833" s="2"/>
      <c r="H833" s="2"/>
      <c r="I833" s="2"/>
      <c r="J833" s="2"/>
      <c r="K833" s="2"/>
    </row>
    <row r="834" customFormat="false" ht="15.75" hidden="false" customHeight="false" outlineLevel="0" collapsed="false">
      <c r="A834" s="2"/>
      <c r="B834" s="2"/>
      <c r="C834" s="2"/>
      <c r="D834" s="2"/>
      <c r="E834" s="2"/>
      <c r="F834" s="2"/>
      <c r="G834" s="2"/>
      <c r="H834" s="2"/>
      <c r="I834" s="2"/>
      <c r="J834" s="2"/>
      <c r="K834" s="2"/>
    </row>
    <row r="835" customFormat="false" ht="15.75" hidden="false" customHeight="false" outlineLevel="0" collapsed="false">
      <c r="A835" s="2"/>
      <c r="B835" s="2"/>
      <c r="C835" s="2"/>
      <c r="D835" s="2"/>
      <c r="E835" s="2"/>
      <c r="F835" s="2"/>
      <c r="G835" s="2"/>
      <c r="H835" s="2"/>
      <c r="I835" s="2"/>
      <c r="J835" s="2"/>
      <c r="K835" s="2"/>
    </row>
    <row r="836" customFormat="false" ht="15.75" hidden="false" customHeight="false" outlineLevel="0" collapsed="false">
      <c r="A836" s="2"/>
      <c r="B836" s="2"/>
      <c r="C836" s="2"/>
      <c r="D836" s="2"/>
      <c r="E836" s="2"/>
      <c r="F836" s="2"/>
      <c r="G836" s="2"/>
      <c r="H836" s="2"/>
      <c r="I836" s="2"/>
      <c r="J836" s="2"/>
      <c r="K836" s="2"/>
    </row>
    <row r="837" customFormat="false" ht="15.75" hidden="false" customHeight="false" outlineLevel="0" collapsed="false">
      <c r="A837" s="2"/>
      <c r="B837" s="2"/>
      <c r="C837" s="2"/>
      <c r="D837" s="2"/>
      <c r="E837" s="2"/>
      <c r="F837" s="2"/>
      <c r="G837" s="2"/>
      <c r="H837" s="2"/>
      <c r="I837" s="2"/>
      <c r="J837" s="2"/>
      <c r="K837" s="2"/>
    </row>
    <row r="838" customFormat="false" ht="15.75" hidden="false" customHeight="false" outlineLevel="0" collapsed="false">
      <c r="A838" s="2"/>
      <c r="B838" s="2"/>
      <c r="C838" s="2"/>
      <c r="D838" s="2"/>
      <c r="E838" s="2"/>
      <c r="F838" s="2"/>
      <c r="G838" s="2"/>
      <c r="H838" s="2"/>
      <c r="I838" s="2"/>
      <c r="J838" s="2"/>
      <c r="K838" s="2"/>
    </row>
    <row r="839" customFormat="false" ht="15.75" hidden="false" customHeight="false" outlineLevel="0" collapsed="false">
      <c r="A839" s="2"/>
      <c r="B839" s="2"/>
      <c r="C839" s="2"/>
      <c r="D839" s="2"/>
      <c r="E839" s="2"/>
      <c r="F839" s="2"/>
      <c r="G839" s="2"/>
      <c r="H839" s="2"/>
      <c r="I839" s="2"/>
      <c r="J839" s="2"/>
      <c r="K839" s="2"/>
    </row>
    <row r="840" customFormat="false" ht="15.75" hidden="false" customHeight="false" outlineLevel="0" collapsed="false">
      <c r="A840" s="2"/>
      <c r="B840" s="2"/>
      <c r="C840" s="2"/>
      <c r="D840" s="2"/>
      <c r="E840" s="2"/>
      <c r="F840" s="2"/>
      <c r="G840" s="2"/>
      <c r="H840" s="2"/>
      <c r="I840" s="2"/>
      <c r="J840" s="2"/>
      <c r="K840" s="2"/>
    </row>
    <row r="841" customFormat="false" ht="15.75" hidden="false" customHeight="false" outlineLevel="0" collapsed="false">
      <c r="A841" s="2"/>
      <c r="B841" s="2"/>
      <c r="C841" s="2"/>
      <c r="D841" s="2"/>
      <c r="E841" s="2"/>
      <c r="F841" s="2"/>
      <c r="G841" s="2"/>
      <c r="H841" s="2"/>
      <c r="I841" s="2"/>
      <c r="J841" s="2"/>
      <c r="K841" s="2"/>
    </row>
    <row r="842" customFormat="false" ht="15.75" hidden="false" customHeight="false" outlineLevel="0" collapsed="false">
      <c r="A842" s="2"/>
      <c r="B842" s="2"/>
      <c r="C842" s="2"/>
      <c r="D842" s="2"/>
      <c r="E842" s="2"/>
      <c r="F842" s="2"/>
      <c r="G842" s="2"/>
      <c r="H842" s="2"/>
      <c r="I842" s="2"/>
      <c r="J842" s="2"/>
      <c r="K842" s="2"/>
    </row>
    <row r="843" customFormat="false" ht="15.75" hidden="false" customHeight="false" outlineLevel="0" collapsed="false">
      <c r="A843" s="2"/>
      <c r="B843" s="2"/>
      <c r="C843" s="2"/>
      <c r="D843" s="2"/>
      <c r="E843" s="2"/>
      <c r="F843" s="2"/>
      <c r="G843" s="2"/>
      <c r="H843" s="2"/>
      <c r="I843" s="2"/>
      <c r="J843" s="2"/>
      <c r="K843" s="2"/>
    </row>
    <row r="844" customFormat="false" ht="15.75" hidden="false" customHeight="false" outlineLevel="0" collapsed="false">
      <c r="A844" s="2"/>
      <c r="B844" s="2"/>
      <c r="C844" s="2"/>
      <c r="D844" s="2"/>
      <c r="E844" s="2"/>
      <c r="F844" s="2"/>
      <c r="G844" s="2"/>
      <c r="H844" s="2"/>
      <c r="I844" s="2"/>
      <c r="J844" s="2"/>
      <c r="K844" s="2"/>
    </row>
    <row r="845" customFormat="false" ht="15.75" hidden="false" customHeight="false" outlineLevel="0" collapsed="false">
      <c r="A845" s="2"/>
      <c r="B845" s="2"/>
      <c r="C845" s="2"/>
      <c r="D845" s="2"/>
      <c r="E845" s="2"/>
      <c r="F845" s="2"/>
      <c r="G845" s="2"/>
      <c r="H845" s="2"/>
      <c r="I845" s="2"/>
      <c r="J845" s="2"/>
      <c r="K845" s="2"/>
    </row>
    <row r="846" customFormat="false" ht="15.75" hidden="false" customHeight="false" outlineLevel="0" collapsed="false">
      <c r="A846" s="2"/>
      <c r="B846" s="2"/>
      <c r="C846" s="2"/>
      <c r="D846" s="2"/>
      <c r="E846" s="2"/>
      <c r="F846" s="2"/>
      <c r="G846" s="2"/>
      <c r="H846" s="2"/>
      <c r="I846" s="2"/>
      <c r="J846" s="2"/>
      <c r="K846" s="2"/>
    </row>
    <row r="847" customFormat="false" ht="15.75" hidden="false" customHeight="false" outlineLevel="0" collapsed="false">
      <c r="A847" s="2"/>
      <c r="B847" s="2"/>
      <c r="C847" s="2"/>
      <c r="D847" s="2"/>
      <c r="E847" s="2"/>
      <c r="F847" s="2"/>
      <c r="G847" s="2"/>
      <c r="H847" s="2"/>
      <c r="I847" s="2"/>
      <c r="J847" s="2"/>
      <c r="K847" s="2"/>
    </row>
    <row r="848" customFormat="false" ht="15.75" hidden="false" customHeight="false" outlineLevel="0" collapsed="false">
      <c r="A848" s="2"/>
      <c r="B848" s="2"/>
      <c r="C848" s="2"/>
      <c r="D848" s="2"/>
      <c r="E848" s="2"/>
      <c r="F848" s="2"/>
      <c r="G848" s="2"/>
      <c r="H848" s="2"/>
      <c r="I848" s="2"/>
      <c r="J848" s="2"/>
      <c r="K848" s="2"/>
    </row>
    <row r="849" customFormat="false" ht="15.75" hidden="false" customHeight="false" outlineLevel="0" collapsed="false">
      <c r="A849" s="2"/>
      <c r="B849" s="2"/>
      <c r="C849" s="2"/>
      <c r="D849" s="2"/>
      <c r="E849" s="2"/>
      <c r="F849" s="2"/>
      <c r="G849" s="2"/>
      <c r="H849" s="2"/>
      <c r="I849" s="2"/>
      <c r="J849" s="2"/>
      <c r="K849" s="2"/>
    </row>
    <row r="850" customFormat="false" ht="15.75" hidden="false" customHeight="false" outlineLevel="0" collapsed="false">
      <c r="A850" s="2"/>
      <c r="B850" s="2"/>
      <c r="C850" s="2"/>
      <c r="D850" s="2"/>
      <c r="E850" s="2"/>
      <c r="F850" s="2"/>
      <c r="G850" s="2"/>
      <c r="H850" s="2"/>
      <c r="I850" s="2"/>
      <c r="J850" s="2"/>
      <c r="K850" s="2"/>
    </row>
    <row r="851" customFormat="false" ht="15.75" hidden="false" customHeight="false" outlineLevel="0" collapsed="false">
      <c r="A851" s="2"/>
      <c r="B851" s="2"/>
      <c r="C851" s="2"/>
      <c r="D851" s="2"/>
      <c r="E851" s="2"/>
      <c r="F851" s="2"/>
      <c r="G851" s="2"/>
      <c r="H851" s="2"/>
      <c r="I851" s="2"/>
      <c r="J851" s="2"/>
      <c r="K851" s="2"/>
    </row>
    <row r="852" customFormat="false" ht="15.75" hidden="false" customHeight="false" outlineLevel="0" collapsed="false">
      <c r="A852" s="2"/>
      <c r="B852" s="2"/>
      <c r="C852" s="2"/>
      <c r="D852" s="2"/>
      <c r="E852" s="2"/>
      <c r="F852" s="2"/>
      <c r="G852" s="2"/>
      <c r="H852" s="2"/>
      <c r="I852" s="2"/>
      <c r="J852" s="2"/>
      <c r="K852" s="2"/>
    </row>
    <row r="853" customFormat="false" ht="15.75" hidden="false" customHeight="false" outlineLevel="0" collapsed="false">
      <c r="A853" s="2"/>
      <c r="B853" s="2"/>
      <c r="C853" s="2"/>
      <c r="D853" s="2"/>
      <c r="E853" s="2"/>
      <c r="F853" s="2"/>
      <c r="G853" s="2"/>
      <c r="H853" s="2"/>
      <c r="I853" s="2"/>
      <c r="J853" s="2"/>
      <c r="K853" s="2"/>
    </row>
    <row r="854" customFormat="false" ht="15.75" hidden="false" customHeight="false" outlineLevel="0" collapsed="false">
      <c r="A854" s="2"/>
      <c r="B854" s="2"/>
      <c r="C854" s="2"/>
      <c r="D854" s="2"/>
      <c r="E854" s="2"/>
      <c r="F854" s="2"/>
      <c r="G854" s="2"/>
      <c r="H854" s="2"/>
      <c r="I854" s="2"/>
      <c r="J854" s="2"/>
      <c r="K854" s="2"/>
    </row>
    <row r="855" customFormat="false" ht="15.75" hidden="false" customHeight="false" outlineLevel="0" collapsed="false">
      <c r="A855" s="2"/>
      <c r="B855" s="2"/>
      <c r="C855" s="2"/>
      <c r="D855" s="2"/>
      <c r="E855" s="2"/>
      <c r="F855" s="2"/>
      <c r="G855" s="2"/>
      <c r="H855" s="2"/>
      <c r="I855" s="2"/>
      <c r="J855" s="2"/>
      <c r="K855" s="2"/>
    </row>
    <row r="856" customFormat="false" ht="15.75" hidden="false" customHeight="false" outlineLevel="0" collapsed="false">
      <c r="A856" s="2"/>
      <c r="B856" s="2"/>
      <c r="C856" s="2"/>
      <c r="D856" s="2"/>
      <c r="E856" s="2"/>
      <c r="F856" s="2"/>
      <c r="G856" s="2"/>
      <c r="H856" s="2"/>
      <c r="I856" s="2"/>
      <c r="J856" s="2"/>
      <c r="K856" s="2"/>
    </row>
    <row r="857" customFormat="false" ht="15.75" hidden="false" customHeight="false" outlineLevel="0" collapsed="false">
      <c r="A857" s="2"/>
      <c r="B857" s="2"/>
      <c r="C857" s="2"/>
      <c r="D857" s="2"/>
      <c r="E857" s="2"/>
      <c r="F857" s="2"/>
      <c r="G857" s="2"/>
      <c r="H857" s="2"/>
      <c r="I857" s="2"/>
      <c r="J857" s="2"/>
      <c r="K857" s="2"/>
    </row>
    <row r="858" customFormat="false" ht="15.75" hidden="false" customHeight="false" outlineLevel="0" collapsed="false">
      <c r="A858" s="2"/>
      <c r="B858" s="2"/>
      <c r="C858" s="2"/>
      <c r="D858" s="2"/>
      <c r="E858" s="2"/>
      <c r="F858" s="2"/>
      <c r="G858" s="2"/>
      <c r="H858" s="2"/>
      <c r="I858" s="2"/>
      <c r="J858" s="2"/>
      <c r="K858" s="2"/>
    </row>
    <row r="859" customFormat="false" ht="15.75" hidden="false" customHeight="false" outlineLevel="0" collapsed="false">
      <c r="A859" s="2"/>
      <c r="B859" s="2"/>
      <c r="C859" s="2"/>
      <c r="D859" s="2"/>
      <c r="E859" s="2"/>
      <c r="F859" s="2"/>
      <c r="G859" s="2"/>
      <c r="H859" s="2"/>
      <c r="I859" s="2"/>
      <c r="J859" s="2"/>
      <c r="K859" s="2"/>
    </row>
    <row r="860" customFormat="false" ht="15.75" hidden="false" customHeight="false" outlineLevel="0" collapsed="false">
      <c r="A860" s="2"/>
      <c r="B860" s="2"/>
      <c r="C860" s="2"/>
      <c r="D860" s="2"/>
      <c r="E860" s="2"/>
      <c r="F860" s="2"/>
      <c r="G860" s="2"/>
      <c r="H860" s="2"/>
      <c r="I860" s="2"/>
      <c r="J860" s="2"/>
      <c r="K860" s="2"/>
    </row>
    <row r="861" customFormat="false" ht="15.75" hidden="false" customHeight="false" outlineLevel="0" collapsed="false">
      <c r="A861" s="2"/>
      <c r="B861" s="2"/>
      <c r="C861" s="2"/>
      <c r="D861" s="2"/>
      <c r="E861" s="2"/>
      <c r="F861" s="2"/>
      <c r="G861" s="2"/>
      <c r="H861" s="2"/>
      <c r="I861" s="2"/>
      <c r="J861" s="2"/>
      <c r="K861" s="2"/>
    </row>
    <row r="862" customFormat="false" ht="15.75" hidden="false" customHeight="false" outlineLevel="0" collapsed="false">
      <c r="A862" s="2"/>
      <c r="B862" s="2"/>
      <c r="C862" s="2"/>
      <c r="D862" s="2"/>
      <c r="E862" s="2"/>
      <c r="F862" s="2"/>
      <c r="G862" s="2"/>
      <c r="H862" s="2"/>
      <c r="I862" s="2"/>
      <c r="J862" s="2"/>
      <c r="K862" s="2"/>
    </row>
    <row r="863" customFormat="false" ht="15.75" hidden="false" customHeight="false" outlineLevel="0" collapsed="false">
      <c r="A863" s="2"/>
      <c r="B863" s="2"/>
      <c r="C863" s="2"/>
      <c r="D863" s="2"/>
      <c r="E863" s="2"/>
      <c r="F863" s="2"/>
      <c r="G863" s="2"/>
      <c r="H863" s="2"/>
      <c r="I863" s="2"/>
      <c r="J863" s="2"/>
      <c r="K863" s="2"/>
    </row>
    <row r="864" customFormat="false" ht="15.75" hidden="false" customHeight="false" outlineLevel="0" collapsed="false">
      <c r="A864" s="2"/>
      <c r="B864" s="2"/>
      <c r="C864" s="2"/>
      <c r="D864" s="2"/>
      <c r="E864" s="2"/>
      <c r="F864" s="2"/>
      <c r="G864" s="2"/>
      <c r="H864" s="2"/>
      <c r="I864" s="2"/>
      <c r="J864" s="2"/>
      <c r="K864" s="2"/>
    </row>
    <row r="865" customFormat="false" ht="15.75" hidden="false" customHeight="false" outlineLevel="0" collapsed="false">
      <c r="A865" s="2"/>
      <c r="B865" s="2"/>
      <c r="C865" s="2"/>
      <c r="D865" s="2"/>
      <c r="E865" s="2"/>
      <c r="F865" s="2"/>
      <c r="G865" s="2"/>
      <c r="H865" s="2"/>
      <c r="I865" s="2"/>
      <c r="J865" s="2"/>
      <c r="K865" s="2"/>
    </row>
    <row r="866" customFormat="false" ht="15.75" hidden="false" customHeight="false" outlineLevel="0" collapsed="false">
      <c r="A866" s="2"/>
      <c r="B866" s="2"/>
      <c r="C866" s="2"/>
      <c r="D866" s="2"/>
      <c r="E866" s="2"/>
      <c r="F866" s="2"/>
      <c r="G866" s="2"/>
      <c r="H866" s="2"/>
      <c r="I866" s="2"/>
      <c r="J866" s="2"/>
      <c r="K866" s="2"/>
    </row>
    <row r="867" customFormat="false" ht="15.75" hidden="false" customHeight="false" outlineLevel="0" collapsed="false">
      <c r="A867" s="2"/>
      <c r="B867" s="2"/>
      <c r="C867" s="2"/>
      <c r="D867" s="2"/>
      <c r="E867" s="2"/>
      <c r="F867" s="2"/>
      <c r="G867" s="2"/>
      <c r="H867" s="2"/>
      <c r="I867" s="2"/>
      <c r="J867" s="2"/>
      <c r="K867" s="2"/>
    </row>
    <row r="868" customFormat="false" ht="15.75" hidden="false" customHeight="false" outlineLevel="0" collapsed="false">
      <c r="A868" s="2"/>
      <c r="B868" s="2"/>
      <c r="C868" s="2"/>
      <c r="D868" s="2"/>
      <c r="E868" s="2"/>
      <c r="F868" s="2"/>
      <c r="G868" s="2"/>
      <c r="H868" s="2"/>
      <c r="I868" s="2"/>
      <c r="J868" s="2"/>
      <c r="K868" s="2"/>
    </row>
    <row r="869" customFormat="false" ht="15.75" hidden="false" customHeight="false" outlineLevel="0" collapsed="false">
      <c r="A869" s="2"/>
      <c r="B869" s="2"/>
      <c r="C869" s="2"/>
      <c r="D869" s="2"/>
      <c r="E869" s="2"/>
      <c r="F869" s="2"/>
      <c r="G869" s="2"/>
      <c r="H869" s="2"/>
      <c r="I869" s="2"/>
      <c r="J869" s="2"/>
      <c r="K869" s="2"/>
    </row>
    <row r="870" customFormat="false" ht="15.75" hidden="false" customHeight="false" outlineLevel="0" collapsed="false">
      <c r="A870" s="2"/>
      <c r="B870" s="2"/>
      <c r="C870" s="2"/>
      <c r="D870" s="2"/>
      <c r="E870" s="2"/>
      <c r="F870" s="2"/>
      <c r="G870" s="2"/>
      <c r="H870" s="2"/>
      <c r="I870" s="2"/>
      <c r="J870" s="2"/>
      <c r="K870" s="2"/>
    </row>
    <row r="871" customFormat="false" ht="15.75" hidden="false" customHeight="false" outlineLevel="0" collapsed="false">
      <c r="A871" s="2"/>
      <c r="B871" s="2"/>
      <c r="C871" s="2"/>
      <c r="D871" s="2"/>
      <c r="E871" s="2"/>
      <c r="F871" s="2"/>
      <c r="G871" s="2"/>
      <c r="H871" s="2"/>
      <c r="I871" s="2"/>
      <c r="J871" s="2"/>
      <c r="K871" s="2"/>
    </row>
    <row r="872" customFormat="false" ht="15.75" hidden="false" customHeight="false" outlineLevel="0" collapsed="false">
      <c r="A872" s="2"/>
      <c r="B872" s="2"/>
      <c r="C872" s="2"/>
      <c r="D872" s="2"/>
      <c r="E872" s="2"/>
      <c r="F872" s="2"/>
      <c r="G872" s="2"/>
      <c r="H872" s="2"/>
      <c r="I872" s="2"/>
      <c r="J872" s="2"/>
      <c r="K872" s="2"/>
    </row>
    <row r="873" customFormat="false" ht="15.75" hidden="false" customHeight="false" outlineLevel="0" collapsed="false">
      <c r="A873" s="2"/>
      <c r="B873" s="2"/>
      <c r="C873" s="2"/>
      <c r="D873" s="2"/>
      <c r="E873" s="2"/>
      <c r="F873" s="2"/>
      <c r="G873" s="2"/>
      <c r="H873" s="2"/>
      <c r="I873" s="2"/>
      <c r="J873" s="2"/>
      <c r="K873" s="2"/>
    </row>
    <row r="874" customFormat="false" ht="15.75" hidden="false" customHeight="false" outlineLevel="0" collapsed="false">
      <c r="A874" s="2"/>
      <c r="B874" s="2"/>
      <c r="C874" s="2"/>
      <c r="D874" s="2"/>
      <c r="E874" s="2"/>
      <c r="F874" s="2"/>
      <c r="G874" s="2"/>
      <c r="H874" s="2"/>
      <c r="I874" s="2"/>
      <c r="J874" s="2"/>
      <c r="K874" s="2"/>
    </row>
    <row r="875" customFormat="false" ht="15.75" hidden="false" customHeight="false" outlineLevel="0" collapsed="false">
      <c r="A875" s="2"/>
      <c r="B875" s="2"/>
      <c r="C875" s="2"/>
      <c r="D875" s="2"/>
      <c r="E875" s="2"/>
      <c r="F875" s="2"/>
      <c r="G875" s="2"/>
      <c r="H875" s="2"/>
      <c r="I875" s="2"/>
      <c r="J875" s="2"/>
      <c r="K875" s="2"/>
    </row>
    <row r="876" customFormat="false" ht="15.75" hidden="false" customHeight="false" outlineLevel="0" collapsed="false">
      <c r="A876" s="2"/>
      <c r="B876" s="2"/>
      <c r="C876" s="2"/>
      <c r="D876" s="2"/>
      <c r="E876" s="2"/>
      <c r="F876" s="2"/>
      <c r="G876" s="2"/>
      <c r="H876" s="2"/>
      <c r="I876" s="2"/>
      <c r="J876" s="2"/>
      <c r="K876" s="2"/>
    </row>
    <row r="877" customFormat="false" ht="15.75" hidden="false" customHeight="false" outlineLevel="0" collapsed="false">
      <c r="A877" s="2"/>
      <c r="B877" s="2"/>
      <c r="C877" s="2"/>
      <c r="D877" s="2"/>
      <c r="E877" s="2"/>
      <c r="F877" s="2"/>
      <c r="G877" s="2"/>
      <c r="H877" s="2"/>
      <c r="I877" s="2"/>
      <c r="J877" s="2"/>
      <c r="K877" s="2"/>
    </row>
    <row r="878" customFormat="false" ht="15.75" hidden="false" customHeight="false" outlineLevel="0" collapsed="false">
      <c r="A878" s="2"/>
      <c r="B878" s="2"/>
      <c r="C878" s="2"/>
      <c r="D878" s="2"/>
      <c r="E878" s="2"/>
      <c r="F878" s="2"/>
      <c r="G878" s="2"/>
      <c r="H878" s="2"/>
      <c r="I878" s="2"/>
      <c r="J878" s="2"/>
      <c r="K878" s="2"/>
    </row>
    <row r="879" customFormat="false" ht="15.75" hidden="false" customHeight="false" outlineLevel="0" collapsed="false">
      <c r="A879" s="2"/>
      <c r="B879" s="2"/>
      <c r="C879" s="2"/>
      <c r="D879" s="2"/>
      <c r="E879" s="2"/>
      <c r="F879" s="2"/>
      <c r="G879" s="2"/>
      <c r="H879" s="2"/>
      <c r="I879" s="2"/>
      <c r="J879" s="2"/>
      <c r="K879" s="2"/>
    </row>
    <row r="880" customFormat="false" ht="15.75" hidden="false" customHeight="false" outlineLevel="0" collapsed="false">
      <c r="A880" s="2"/>
      <c r="B880" s="2"/>
      <c r="C880" s="2"/>
      <c r="D880" s="2"/>
      <c r="E880" s="2"/>
      <c r="F880" s="2"/>
      <c r="G880" s="2"/>
      <c r="H880" s="2"/>
      <c r="I880" s="2"/>
      <c r="J880" s="2"/>
      <c r="K880" s="2"/>
    </row>
    <row r="881" customFormat="false" ht="15.75" hidden="false" customHeight="false" outlineLevel="0" collapsed="false">
      <c r="A881" s="2"/>
      <c r="B881" s="2"/>
      <c r="C881" s="2"/>
      <c r="D881" s="2"/>
      <c r="E881" s="2"/>
      <c r="F881" s="2"/>
      <c r="G881" s="2"/>
      <c r="H881" s="2"/>
      <c r="I881" s="2"/>
      <c r="J881" s="2"/>
      <c r="K881" s="2"/>
    </row>
    <row r="882" customFormat="false" ht="15.75" hidden="false" customHeight="false" outlineLevel="0" collapsed="false">
      <c r="A882" s="2"/>
      <c r="B882" s="2"/>
      <c r="C882" s="2"/>
      <c r="D882" s="2"/>
      <c r="E882" s="2"/>
      <c r="F882" s="2"/>
      <c r="G882" s="2"/>
      <c r="H882" s="2"/>
      <c r="I882" s="2"/>
      <c r="J882" s="2"/>
      <c r="K882" s="2"/>
    </row>
    <row r="883" customFormat="false" ht="15.75" hidden="false" customHeight="false" outlineLevel="0" collapsed="false">
      <c r="A883" s="2"/>
      <c r="B883" s="2"/>
      <c r="C883" s="2"/>
      <c r="D883" s="2"/>
      <c r="E883" s="2"/>
      <c r="F883" s="2"/>
      <c r="G883" s="2"/>
      <c r="H883" s="2"/>
      <c r="I883" s="2"/>
      <c r="J883" s="2"/>
      <c r="K883" s="2"/>
    </row>
    <row r="884" customFormat="false" ht="15.75" hidden="false" customHeight="false" outlineLevel="0" collapsed="false">
      <c r="A884" s="2"/>
      <c r="B884" s="2"/>
      <c r="C884" s="2"/>
      <c r="D884" s="2"/>
      <c r="E884" s="2"/>
      <c r="F884" s="2"/>
      <c r="G884" s="2"/>
      <c r="H884" s="2"/>
      <c r="I884" s="2"/>
      <c r="J884" s="2"/>
      <c r="K884" s="2"/>
    </row>
    <row r="885" customFormat="false" ht="15.75" hidden="false" customHeight="false" outlineLevel="0" collapsed="false">
      <c r="A885" s="2"/>
      <c r="B885" s="2"/>
      <c r="C885" s="2"/>
      <c r="D885" s="2"/>
      <c r="E885" s="2"/>
      <c r="F885" s="2"/>
      <c r="G885" s="2"/>
      <c r="H885" s="2"/>
      <c r="I885" s="2"/>
      <c r="J885" s="2"/>
      <c r="K885" s="2"/>
    </row>
    <row r="886" customFormat="false" ht="15.75" hidden="false" customHeight="false" outlineLevel="0" collapsed="false">
      <c r="A886" s="2"/>
      <c r="B886" s="2"/>
      <c r="C886" s="2"/>
      <c r="D886" s="2"/>
      <c r="E886" s="2"/>
      <c r="F886" s="2"/>
      <c r="G886" s="2"/>
      <c r="H886" s="2"/>
      <c r="I886" s="2"/>
      <c r="J886" s="2"/>
      <c r="K886" s="2"/>
    </row>
    <row r="887" customFormat="false" ht="15.75" hidden="false" customHeight="false" outlineLevel="0" collapsed="false">
      <c r="A887" s="2"/>
      <c r="B887" s="2"/>
      <c r="C887" s="2"/>
      <c r="D887" s="2"/>
      <c r="E887" s="2"/>
      <c r="F887" s="2"/>
      <c r="G887" s="2"/>
      <c r="H887" s="2"/>
      <c r="I887" s="2"/>
      <c r="J887" s="2"/>
      <c r="K887" s="2"/>
    </row>
    <row r="888" customFormat="false" ht="15.75" hidden="false" customHeight="false" outlineLevel="0" collapsed="false">
      <c r="A888" s="2"/>
      <c r="B888" s="2"/>
      <c r="C888" s="2"/>
      <c r="D888" s="2"/>
      <c r="E888" s="2"/>
      <c r="F888" s="2"/>
      <c r="G888" s="2"/>
      <c r="H888" s="2"/>
      <c r="I888" s="2"/>
      <c r="J888" s="2"/>
      <c r="K888" s="2"/>
    </row>
    <row r="889" customFormat="false" ht="15.75" hidden="false" customHeight="false" outlineLevel="0" collapsed="false">
      <c r="A889" s="2"/>
      <c r="B889" s="2"/>
      <c r="C889" s="2"/>
      <c r="D889" s="2"/>
      <c r="E889" s="2"/>
      <c r="F889" s="2"/>
      <c r="G889" s="2"/>
      <c r="H889" s="2"/>
      <c r="I889" s="2"/>
      <c r="J889" s="2"/>
      <c r="K889" s="2"/>
    </row>
    <row r="890" customFormat="false" ht="15.75" hidden="false" customHeight="false" outlineLevel="0" collapsed="false">
      <c r="A890" s="2"/>
      <c r="B890" s="2"/>
      <c r="C890" s="2"/>
      <c r="D890" s="2"/>
      <c r="E890" s="2"/>
      <c r="F890" s="2"/>
      <c r="G890" s="2"/>
      <c r="H890" s="2"/>
      <c r="I890" s="2"/>
      <c r="J890" s="2"/>
      <c r="K890" s="2"/>
    </row>
    <row r="891" customFormat="false" ht="15.75" hidden="false" customHeight="false" outlineLevel="0" collapsed="false">
      <c r="A891" s="2"/>
      <c r="B891" s="2"/>
      <c r="C891" s="2"/>
      <c r="D891" s="2"/>
      <c r="E891" s="2"/>
      <c r="F891" s="2"/>
      <c r="G891" s="2"/>
      <c r="H891" s="2"/>
      <c r="I891" s="2"/>
      <c r="J891" s="2"/>
      <c r="K891" s="2"/>
    </row>
    <row r="892" customFormat="false" ht="15.75" hidden="false" customHeight="false" outlineLevel="0" collapsed="false">
      <c r="A892" s="2"/>
      <c r="B892" s="2"/>
      <c r="C892" s="2"/>
      <c r="D892" s="2"/>
      <c r="E892" s="2"/>
      <c r="F892" s="2"/>
      <c r="G892" s="2"/>
      <c r="H892" s="2"/>
      <c r="I892" s="2"/>
      <c r="J892" s="2"/>
      <c r="K892" s="2"/>
    </row>
    <row r="893" customFormat="false" ht="15.75" hidden="false" customHeight="false" outlineLevel="0" collapsed="false">
      <c r="A893" s="2"/>
      <c r="B893" s="2"/>
      <c r="C893" s="2"/>
      <c r="D893" s="2"/>
      <c r="E893" s="2"/>
      <c r="F893" s="2"/>
      <c r="G893" s="2"/>
      <c r="H893" s="2"/>
      <c r="I893" s="2"/>
      <c r="J893" s="2"/>
      <c r="K893" s="2"/>
    </row>
    <row r="894" customFormat="false" ht="15.75" hidden="false" customHeight="false" outlineLevel="0" collapsed="false">
      <c r="A894" s="2"/>
      <c r="B894" s="2"/>
      <c r="C894" s="2"/>
      <c r="D894" s="2"/>
      <c r="E894" s="2"/>
      <c r="F894" s="2"/>
      <c r="G894" s="2"/>
      <c r="H894" s="2"/>
      <c r="I894" s="2"/>
      <c r="J894" s="2"/>
      <c r="K894" s="2"/>
    </row>
    <row r="895" customFormat="false" ht="15.75" hidden="false" customHeight="false" outlineLevel="0" collapsed="false">
      <c r="A895" s="2"/>
      <c r="B895" s="2"/>
      <c r="C895" s="2"/>
      <c r="D895" s="2"/>
      <c r="E895" s="2"/>
      <c r="F895" s="2"/>
      <c r="G895" s="2"/>
      <c r="H895" s="2"/>
      <c r="I895" s="2"/>
      <c r="J895" s="2"/>
      <c r="K895" s="2"/>
    </row>
    <row r="896" customFormat="false" ht="15.75" hidden="false" customHeight="false" outlineLevel="0" collapsed="false">
      <c r="A896" s="2"/>
      <c r="B896" s="2"/>
      <c r="C896" s="2"/>
      <c r="D896" s="2"/>
      <c r="E896" s="2"/>
      <c r="F896" s="2"/>
      <c r="G896" s="2"/>
      <c r="H896" s="2"/>
      <c r="I896" s="2"/>
      <c r="J896" s="2"/>
      <c r="K896" s="2"/>
    </row>
    <row r="897" customFormat="false" ht="15.75" hidden="false" customHeight="false" outlineLevel="0" collapsed="false">
      <c r="A897" s="2"/>
      <c r="B897" s="2"/>
      <c r="C897" s="2"/>
      <c r="D897" s="2"/>
      <c r="E897" s="2"/>
      <c r="F897" s="2"/>
      <c r="G897" s="2"/>
      <c r="H897" s="2"/>
      <c r="I897" s="2"/>
      <c r="J897" s="2"/>
      <c r="K897" s="2"/>
    </row>
    <row r="898" customFormat="false" ht="15.75" hidden="false" customHeight="false" outlineLevel="0" collapsed="false">
      <c r="A898" s="2"/>
      <c r="B898" s="2"/>
      <c r="C898" s="2"/>
      <c r="D898" s="2"/>
      <c r="E898" s="2"/>
      <c r="F898" s="2"/>
      <c r="G898" s="2"/>
      <c r="H898" s="2"/>
      <c r="I898" s="2"/>
      <c r="J898" s="2"/>
      <c r="K898" s="2"/>
    </row>
    <row r="899" customFormat="false" ht="15.75" hidden="false" customHeight="false" outlineLevel="0" collapsed="false">
      <c r="A899" s="2"/>
      <c r="B899" s="2"/>
      <c r="C899" s="2"/>
      <c r="D899" s="2"/>
      <c r="E899" s="2"/>
      <c r="F899" s="2"/>
      <c r="G899" s="2"/>
      <c r="H899" s="2"/>
      <c r="I899" s="2"/>
      <c r="J899" s="2"/>
      <c r="K899" s="2"/>
    </row>
    <row r="900" customFormat="false" ht="15.75" hidden="false" customHeight="false" outlineLevel="0" collapsed="false">
      <c r="A900" s="2"/>
      <c r="B900" s="2"/>
      <c r="C900" s="2"/>
      <c r="D900" s="2"/>
      <c r="E900" s="2"/>
      <c r="F900" s="2"/>
      <c r="G900" s="2"/>
      <c r="H900" s="2"/>
      <c r="I900" s="2"/>
      <c r="J900" s="2"/>
      <c r="K900" s="2"/>
    </row>
    <row r="901" customFormat="false" ht="15.75" hidden="false" customHeight="false" outlineLevel="0" collapsed="false">
      <c r="A901" s="2"/>
      <c r="B901" s="2"/>
      <c r="C901" s="2"/>
      <c r="D901" s="2"/>
      <c r="E901" s="2"/>
      <c r="F901" s="2"/>
      <c r="G901" s="2"/>
      <c r="H901" s="2"/>
      <c r="I901" s="2"/>
      <c r="J901" s="2"/>
      <c r="K901" s="2"/>
    </row>
    <row r="902" customFormat="false" ht="15.75" hidden="false" customHeight="false" outlineLevel="0" collapsed="false">
      <c r="A902" s="2"/>
      <c r="B902" s="2"/>
      <c r="C902" s="2"/>
      <c r="D902" s="2"/>
      <c r="E902" s="2"/>
      <c r="F902" s="2"/>
      <c r="G902" s="2"/>
      <c r="H902" s="2"/>
      <c r="I902" s="2"/>
      <c r="J902" s="2"/>
      <c r="K902" s="2"/>
    </row>
    <row r="903" customFormat="false" ht="15.75" hidden="false" customHeight="false" outlineLevel="0" collapsed="false">
      <c r="A903" s="2"/>
      <c r="B903" s="2"/>
      <c r="C903" s="2"/>
      <c r="D903" s="2"/>
      <c r="E903" s="2"/>
      <c r="F903" s="2"/>
      <c r="G903" s="2"/>
      <c r="H903" s="2"/>
      <c r="I903" s="2"/>
      <c r="J903" s="2"/>
      <c r="K903" s="2"/>
    </row>
    <row r="904" customFormat="false" ht="15.75" hidden="false" customHeight="false" outlineLevel="0" collapsed="false">
      <c r="A904" s="2"/>
      <c r="B904" s="2"/>
      <c r="C904" s="2"/>
      <c r="D904" s="2"/>
      <c r="E904" s="2"/>
      <c r="F904" s="2"/>
      <c r="G904" s="2"/>
      <c r="H904" s="2"/>
      <c r="I904" s="2"/>
      <c r="J904" s="2"/>
      <c r="K904" s="2"/>
    </row>
    <row r="905" customFormat="false" ht="15.75" hidden="false" customHeight="false" outlineLevel="0" collapsed="false">
      <c r="A905" s="2"/>
      <c r="B905" s="2"/>
      <c r="C905" s="2"/>
      <c r="D905" s="2"/>
      <c r="E905" s="2"/>
      <c r="F905" s="2"/>
      <c r="G905" s="2"/>
      <c r="H905" s="2"/>
      <c r="I905" s="2"/>
      <c r="J905" s="2"/>
      <c r="K905" s="2"/>
    </row>
    <row r="906" customFormat="false" ht="15.75" hidden="false" customHeight="false" outlineLevel="0" collapsed="false">
      <c r="A906" s="2"/>
      <c r="B906" s="2"/>
      <c r="C906" s="2"/>
      <c r="D906" s="2"/>
      <c r="E906" s="2"/>
      <c r="F906" s="2"/>
      <c r="G906" s="2"/>
      <c r="H906" s="2"/>
      <c r="I906" s="2"/>
      <c r="J906" s="2"/>
      <c r="K906" s="2"/>
    </row>
    <row r="907" customFormat="false" ht="15.75" hidden="false" customHeight="false" outlineLevel="0" collapsed="false">
      <c r="A907" s="2"/>
      <c r="B907" s="2"/>
      <c r="C907" s="2"/>
      <c r="D907" s="2"/>
      <c r="E907" s="2"/>
      <c r="F907" s="2"/>
      <c r="G907" s="2"/>
      <c r="H907" s="2"/>
      <c r="I907" s="2"/>
      <c r="J907" s="2"/>
      <c r="K907" s="2"/>
    </row>
    <row r="908" customFormat="false" ht="15.75" hidden="false" customHeight="false" outlineLevel="0" collapsed="false">
      <c r="A908" s="2"/>
      <c r="B908" s="2"/>
      <c r="C908" s="2"/>
      <c r="D908" s="2"/>
      <c r="E908" s="2"/>
      <c r="F908" s="2"/>
      <c r="G908" s="2"/>
      <c r="H908" s="2"/>
      <c r="I908" s="2"/>
      <c r="J908" s="2"/>
      <c r="K908" s="2"/>
    </row>
    <row r="909" customFormat="false" ht="15.75" hidden="false" customHeight="false" outlineLevel="0" collapsed="false">
      <c r="A909" s="2"/>
      <c r="B909" s="2"/>
      <c r="C909" s="2"/>
      <c r="D909" s="2"/>
      <c r="E909" s="2"/>
      <c r="F909" s="2"/>
      <c r="G909" s="2"/>
      <c r="H909" s="2"/>
      <c r="I909" s="2"/>
      <c r="J909" s="2"/>
      <c r="K909" s="2"/>
    </row>
    <row r="910" customFormat="false" ht="15.75" hidden="false" customHeight="false" outlineLevel="0" collapsed="false">
      <c r="A910" s="2"/>
      <c r="B910" s="2"/>
      <c r="C910" s="2"/>
      <c r="D910" s="2"/>
      <c r="E910" s="2"/>
      <c r="F910" s="2"/>
      <c r="G910" s="2"/>
      <c r="H910" s="2"/>
      <c r="I910" s="2"/>
      <c r="J910" s="2"/>
      <c r="K910" s="2"/>
    </row>
    <row r="911" customFormat="false" ht="15.75" hidden="false" customHeight="false" outlineLevel="0" collapsed="false">
      <c r="A911" s="2"/>
      <c r="B911" s="2"/>
      <c r="C911" s="2"/>
      <c r="D911" s="2"/>
      <c r="E911" s="2"/>
      <c r="F911" s="2"/>
      <c r="G911" s="2"/>
      <c r="H911" s="2"/>
      <c r="I911" s="2"/>
      <c r="J911" s="2"/>
      <c r="K911" s="2"/>
    </row>
    <row r="912" customFormat="false" ht="15.75" hidden="false" customHeight="false" outlineLevel="0" collapsed="false">
      <c r="A912" s="2"/>
      <c r="B912" s="2"/>
      <c r="C912" s="2"/>
      <c r="D912" s="2"/>
      <c r="E912" s="2"/>
      <c r="F912" s="2"/>
      <c r="G912" s="2"/>
      <c r="H912" s="2"/>
      <c r="I912" s="2"/>
      <c r="J912" s="2"/>
      <c r="K912" s="2"/>
    </row>
    <row r="913" customFormat="false" ht="15.75" hidden="false" customHeight="false" outlineLevel="0" collapsed="false">
      <c r="A913" s="2"/>
      <c r="B913" s="2"/>
      <c r="C913" s="2"/>
      <c r="D913" s="2"/>
      <c r="E913" s="2"/>
      <c r="F913" s="2"/>
      <c r="G913" s="2"/>
      <c r="H913" s="2"/>
      <c r="I913" s="2"/>
      <c r="J913" s="2"/>
      <c r="K913" s="2"/>
    </row>
    <row r="914" customFormat="false" ht="15.75" hidden="false" customHeight="false" outlineLevel="0" collapsed="false">
      <c r="A914" s="2"/>
      <c r="B914" s="2"/>
      <c r="C914" s="2"/>
      <c r="D914" s="2"/>
      <c r="E914" s="2"/>
      <c r="F914" s="2"/>
      <c r="G914" s="2"/>
      <c r="H914" s="2"/>
      <c r="I914" s="2"/>
      <c r="J914" s="2"/>
      <c r="K914" s="2"/>
    </row>
    <row r="915" customFormat="false" ht="15.75" hidden="false" customHeight="false" outlineLevel="0" collapsed="false">
      <c r="A915" s="2"/>
      <c r="B915" s="2"/>
      <c r="C915" s="2"/>
      <c r="D915" s="2"/>
      <c r="E915" s="2"/>
      <c r="F915" s="2"/>
      <c r="G915" s="2"/>
      <c r="H915" s="2"/>
      <c r="I915" s="2"/>
      <c r="J915" s="2"/>
      <c r="K915" s="2"/>
    </row>
    <row r="916" customFormat="false" ht="15.75" hidden="false" customHeight="false" outlineLevel="0" collapsed="false">
      <c r="A916" s="2"/>
      <c r="B916" s="2"/>
      <c r="C916" s="2"/>
      <c r="D916" s="2"/>
      <c r="E916" s="2"/>
      <c r="F916" s="2"/>
      <c r="G916" s="2"/>
      <c r="H916" s="2"/>
      <c r="I916" s="2"/>
      <c r="J916" s="2"/>
      <c r="K916" s="2"/>
    </row>
    <row r="917" customFormat="false" ht="15.75" hidden="false" customHeight="false" outlineLevel="0" collapsed="false">
      <c r="A917" s="2"/>
      <c r="B917" s="2"/>
      <c r="C917" s="2"/>
      <c r="D917" s="2"/>
      <c r="E917" s="2"/>
      <c r="F917" s="2"/>
      <c r="G917" s="2"/>
      <c r="H917" s="2"/>
      <c r="I917" s="2"/>
      <c r="J917" s="2"/>
      <c r="K917" s="2"/>
    </row>
    <row r="918" customFormat="false" ht="15.75" hidden="false" customHeight="false" outlineLevel="0" collapsed="false">
      <c r="A918" s="2"/>
      <c r="B918" s="2"/>
      <c r="C918" s="2"/>
      <c r="D918" s="2"/>
      <c r="E918" s="2"/>
      <c r="F918" s="2"/>
      <c r="G918" s="2"/>
      <c r="H918" s="2"/>
      <c r="I918" s="2"/>
      <c r="J918" s="2"/>
      <c r="K918" s="2"/>
    </row>
    <row r="919" customFormat="false" ht="15.75" hidden="false" customHeight="false" outlineLevel="0" collapsed="false">
      <c r="A919" s="2"/>
      <c r="B919" s="2"/>
      <c r="C919" s="2"/>
      <c r="D919" s="2"/>
      <c r="E919" s="2"/>
      <c r="F919" s="2"/>
      <c r="G919" s="2"/>
      <c r="H919" s="2"/>
      <c r="I919" s="2"/>
      <c r="J919" s="2"/>
      <c r="K919" s="2"/>
    </row>
    <row r="920" customFormat="false" ht="15.75" hidden="false" customHeight="false" outlineLevel="0" collapsed="false">
      <c r="A920" s="2"/>
      <c r="B920" s="2"/>
      <c r="C920" s="2"/>
      <c r="D920" s="2"/>
      <c r="E920" s="2"/>
      <c r="F920" s="2"/>
      <c r="G920" s="2"/>
      <c r="H920" s="2"/>
      <c r="I920" s="2"/>
      <c r="J920" s="2"/>
      <c r="K920" s="2"/>
    </row>
    <row r="921" customFormat="false" ht="15.75" hidden="false" customHeight="false" outlineLevel="0" collapsed="false">
      <c r="A921" s="2"/>
      <c r="B921" s="2"/>
      <c r="C921" s="2"/>
      <c r="D921" s="2"/>
      <c r="E921" s="2"/>
      <c r="F921" s="2"/>
      <c r="G921" s="2"/>
      <c r="H921" s="2"/>
      <c r="I921" s="2"/>
      <c r="J921" s="2"/>
      <c r="K921" s="2"/>
    </row>
    <row r="922" customFormat="false" ht="15.75" hidden="false" customHeight="false" outlineLevel="0" collapsed="false">
      <c r="A922" s="2"/>
      <c r="B922" s="2"/>
      <c r="C922" s="2"/>
      <c r="D922" s="2"/>
      <c r="E922" s="2"/>
      <c r="F922" s="2"/>
      <c r="G922" s="2"/>
      <c r="H922" s="2"/>
      <c r="I922" s="2"/>
      <c r="J922" s="2"/>
      <c r="K922" s="2"/>
    </row>
    <row r="923" customFormat="false" ht="15.75" hidden="false" customHeight="false" outlineLevel="0" collapsed="false">
      <c r="A923" s="2"/>
      <c r="B923" s="2"/>
      <c r="C923" s="2"/>
      <c r="D923" s="2"/>
      <c r="E923" s="2"/>
      <c r="F923" s="2"/>
      <c r="G923" s="2"/>
      <c r="H923" s="2"/>
      <c r="I923" s="2"/>
      <c r="J923" s="2"/>
      <c r="K923" s="2"/>
    </row>
    <row r="924" customFormat="false" ht="15.75" hidden="false" customHeight="false" outlineLevel="0" collapsed="false">
      <c r="A924" s="2"/>
      <c r="B924" s="2"/>
      <c r="C924" s="2"/>
      <c r="D924" s="2"/>
      <c r="E924" s="2"/>
      <c r="F924" s="2"/>
      <c r="G924" s="2"/>
      <c r="H924" s="2"/>
      <c r="I924" s="2"/>
      <c r="J924" s="2"/>
      <c r="K924" s="2"/>
    </row>
    <row r="925" customFormat="false" ht="15.75" hidden="false" customHeight="false" outlineLevel="0" collapsed="false">
      <c r="A925" s="2"/>
      <c r="B925" s="2"/>
      <c r="C925" s="2"/>
      <c r="D925" s="2"/>
      <c r="E925" s="2"/>
      <c r="F925" s="2"/>
      <c r="G925" s="2"/>
      <c r="H925" s="2"/>
      <c r="I925" s="2"/>
      <c r="J925" s="2"/>
      <c r="K925" s="2"/>
    </row>
    <row r="926" customFormat="false" ht="15.75" hidden="false" customHeight="false" outlineLevel="0" collapsed="false">
      <c r="A926" s="2"/>
      <c r="B926" s="2"/>
      <c r="C926" s="2"/>
      <c r="D926" s="2"/>
      <c r="E926" s="2"/>
      <c r="F926" s="2"/>
      <c r="G926" s="2"/>
      <c r="H926" s="2"/>
      <c r="I926" s="2"/>
      <c r="J926" s="2"/>
      <c r="K926" s="2"/>
    </row>
    <row r="927" customFormat="false" ht="15.75" hidden="false" customHeight="false" outlineLevel="0" collapsed="false">
      <c r="A927" s="2"/>
      <c r="B927" s="2"/>
      <c r="C927" s="2"/>
      <c r="D927" s="2"/>
      <c r="E927" s="2"/>
      <c r="F927" s="2"/>
      <c r="G927" s="2"/>
      <c r="H927" s="2"/>
      <c r="I927" s="2"/>
      <c r="J927" s="2"/>
      <c r="K927" s="2"/>
    </row>
    <row r="928" customFormat="false" ht="15.75" hidden="false" customHeight="false" outlineLevel="0" collapsed="false">
      <c r="A928" s="2"/>
      <c r="B928" s="2"/>
      <c r="C928" s="2"/>
      <c r="D928" s="2"/>
      <c r="E928" s="2"/>
      <c r="F928" s="2"/>
      <c r="G928" s="2"/>
      <c r="H928" s="2"/>
      <c r="I928" s="2"/>
      <c r="J928" s="2"/>
      <c r="K928" s="2"/>
    </row>
    <row r="929" customFormat="false" ht="15.75" hidden="false" customHeight="false" outlineLevel="0" collapsed="false">
      <c r="A929" s="2"/>
      <c r="B929" s="2"/>
      <c r="C929" s="2"/>
      <c r="D929" s="2"/>
      <c r="E929" s="2"/>
      <c r="F929" s="2"/>
      <c r="G929" s="2"/>
      <c r="H929" s="2"/>
      <c r="I929" s="2"/>
      <c r="J929" s="2"/>
      <c r="K929" s="2"/>
    </row>
    <row r="930" customFormat="false" ht="15.75" hidden="false" customHeight="false" outlineLevel="0" collapsed="false">
      <c r="A930" s="2"/>
      <c r="B930" s="2"/>
      <c r="C930" s="2"/>
      <c r="D930" s="2"/>
      <c r="E930" s="2"/>
      <c r="F930" s="2"/>
      <c r="G930" s="2"/>
      <c r="H930" s="2"/>
      <c r="I930" s="2"/>
      <c r="J930" s="2"/>
      <c r="K930" s="2"/>
    </row>
    <row r="931" customFormat="false" ht="15.75" hidden="false" customHeight="false" outlineLevel="0" collapsed="false">
      <c r="A931" s="2"/>
      <c r="B931" s="2"/>
      <c r="C931" s="2"/>
      <c r="D931" s="2"/>
      <c r="E931" s="2"/>
      <c r="F931" s="2"/>
      <c r="G931" s="2"/>
      <c r="H931" s="2"/>
      <c r="I931" s="2"/>
      <c r="J931" s="2"/>
      <c r="K931" s="2"/>
    </row>
    <row r="932" customFormat="false" ht="15.75" hidden="false" customHeight="false" outlineLevel="0" collapsed="false">
      <c r="A932" s="2"/>
      <c r="B932" s="2"/>
      <c r="C932" s="2"/>
      <c r="D932" s="2"/>
      <c r="E932" s="2"/>
      <c r="F932" s="2"/>
      <c r="G932" s="2"/>
      <c r="H932" s="2"/>
      <c r="I932" s="2"/>
      <c r="J932" s="2"/>
      <c r="K932" s="2"/>
    </row>
    <row r="933" customFormat="false" ht="15.75" hidden="false" customHeight="false" outlineLevel="0" collapsed="false">
      <c r="A933" s="2"/>
      <c r="B933" s="2"/>
      <c r="C933" s="2"/>
      <c r="D933" s="2"/>
      <c r="E933" s="2"/>
      <c r="F933" s="2"/>
      <c r="G933" s="2"/>
      <c r="H933" s="2"/>
      <c r="I933" s="2"/>
      <c r="J933" s="2"/>
      <c r="K933" s="2"/>
    </row>
    <row r="934" customFormat="false" ht="15.75" hidden="false" customHeight="false" outlineLevel="0" collapsed="false">
      <c r="A934" s="2"/>
      <c r="B934" s="2"/>
      <c r="C934" s="2"/>
      <c r="D934" s="2"/>
      <c r="E934" s="2"/>
      <c r="F934" s="2"/>
      <c r="G934" s="2"/>
      <c r="H934" s="2"/>
      <c r="I934" s="2"/>
      <c r="J934" s="2"/>
      <c r="K934" s="2"/>
    </row>
    <row r="935" customFormat="false" ht="15.75" hidden="false" customHeight="false" outlineLevel="0" collapsed="false">
      <c r="A935" s="2"/>
      <c r="B935" s="2"/>
      <c r="C935" s="2"/>
      <c r="D935" s="2"/>
      <c r="E935" s="2"/>
      <c r="F935" s="2"/>
      <c r="G935" s="2"/>
      <c r="H935" s="2"/>
      <c r="I935" s="2"/>
      <c r="J935" s="2"/>
      <c r="K935" s="2"/>
    </row>
    <row r="936" customFormat="false" ht="15.75" hidden="false" customHeight="false" outlineLevel="0" collapsed="false">
      <c r="A936" s="2"/>
      <c r="B936" s="2"/>
      <c r="C936" s="2"/>
      <c r="D936" s="2"/>
      <c r="E936" s="2"/>
      <c r="F936" s="2"/>
      <c r="G936" s="2"/>
      <c r="H936" s="2"/>
      <c r="I936" s="2"/>
      <c r="J936" s="2"/>
      <c r="K936" s="2"/>
    </row>
    <row r="937" customFormat="false" ht="15.75" hidden="false" customHeight="false" outlineLevel="0" collapsed="false">
      <c r="A937" s="2"/>
      <c r="B937" s="2"/>
      <c r="C937" s="2"/>
      <c r="D937" s="2"/>
      <c r="E937" s="2"/>
      <c r="F937" s="2"/>
      <c r="G937" s="2"/>
      <c r="H937" s="2"/>
      <c r="I937" s="2"/>
      <c r="J937" s="2"/>
      <c r="K937" s="2"/>
    </row>
    <row r="938" customFormat="false" ht="15.75" hidden="false" customHeight="false" outlineLevel="0" collapsed="false">
      <c r="A938" s="2"/>
      <c r="B938" s="2"/>
      <c r="C938" s="2"/>
      <c r="D938" s="2"/>
      <c r="E938" s="2"/>
      <c r="F938" s="2"/>
      <c r="G938" s="2"/>
      <c r="H938" s="2"/>
      <c r="I938" s="2"/>
      <c r="J938" s="2"/>
      <c r="K938" s="2"/>
    </row>
    <row r="939" customFormat="false" ht="15.75" hidden="false" customHeight="false" outlineLevel="0" collapsed="false">
      <c r="A939" s="2"/>
      <c r="B939" s="2"/>
      <c r="C939" s="2"/>
      <c r="D939" s="2"/>
      <c r="E939" s="2"/>
      <c r="F939" s="2"/>
      <c r="G939" s="2"/>
      <c r="H939" s="2"/>
      <c r="I939" s="2"/>
      <c r="J939" s="2"/>
      <c r="K939" s="2"/>
    </row>
    <row r="940" customFormat="false" ht="15.75" hidden="false" customHeight="false" outlineLevel="0" collapsed="false">
      <c r="A940" s="2"/>
      <c r="B940" s="2"/>
      <c r="C940" s="2"/>
      <c r="D940" s="2"/>
      <c r="E940" s="2"/>
      <c r="F940" s="2"/>
      <c r="G940" s="2"/>
      <c r="H940" s="2"/>
      <c r="I940" s="2"/>
      <c r="J940" s="2"/>
      <c r="K940" s="2"/>
    </row>
    <row r="941" customFormat="false" ht="15.75" hidden="false" customHeight="false" outlineLevel="0" collapsed="false">
      <c r="A941" s="2"/>
      <c r="B941" s="2"/>
      <c r="C941" s="2"/>
      <c r="D941" s="2"/>
      <c r="E941" s="2"/>
      <c r="F941" s="2"/>
      <c r="G941" s="2"/>
      <c r="H941" s="2"/>
      <c r="I941" s="2"/>
      <c r="J941" s="2"/>
      <c r="K941" s="2"/>
    </row>
    <row r="942" customFormat="false" ht="15.75" hidden="false" customHeight="false" outlineLevel="0" collapsed="false">
      <c r="A942" s="2"/>
      <c r="B942" s="2"/>
      <c r="C942" s="2"/>
      <c r="D942" s="2"/>
      <c r="E942" s="2"/>
      <c r="F942" s="2"/>
      <c r="G942" s="2"/>
      <c r="H942" s="2"/>
      <c r="I942" s="2"/>
      <c r="J942" s="2"/>
      <c r="K942" s="2"/>
    </row>
    <row r="943" customFormat="false" ht="15.75" hidden="false" customHeight="false" outlineLevel="0" collapsed="false">
      <c r="A943" s="2"/>
      <c r="B943" s="2"/>
      <c r="C943" s="2"/>
      <c r="D943" s="2"/>
      <c r="E943" s="2"/>
      <c r="F943" s="2"/>
      <c r="G943" s="2"/>
      <c r="H943" s="2"/>
      <c r="I943" s="2"/>
      <c r="J943" s="2"/>
      <c r="K943" s="2"/>
    </row>
    <row r="944" customFormat="false" ht="15.75" hidden="false" customHeight="false" outlineLevel="0" collapsed="false">
      <c r="A944" s="2"/>
      <c r="B944" s="2"/>
      <c r="C944" s="2"/>
      <c r="D944" s="2"/>
      <c r="E944" s="2"/>
      <c r="F944" s="2"/>
      <c r="G944" s="2"/>
      <c r="H944" s="2"/>
      <c r="I944" s="2"/>
      <c r="J944" s="2"/>
      <c r="K944" s="2"/>
    </row>
    <row r="945" customFormat="false" ht="15.75" hidden="false" customHeight="false" outlineLevel="0" collapsed="false">
      <c r="A945" s="2"/>
      <c r="B945" s="2"/>
      <c r="C945" s="2"/>
      <c r="D945" s="2"/>
      <c r="E945" s="2"/>
      <c r="F945" s="2"/>
      <c r="G945" s="2"/>
      <c r="H945" s="2"/>
      <c r="I945" s="2"/>
      <c r="J945" s="2"/>
      <c r="K945" s="2"/>
    </row>
    <row r="946" customFormat="false" ht="15.75" hidden="false" customHeight="false" outlineLevel="0" collapsed="false">
      <c r="A946" s="2"/>
      <c r="B946" s="2"/>
      <c r="C946" s="2"/>
      <c r="D946" s="2"/>
      <c r="E946" s="2"/>
      <c r="F946" s="2"/>
      <c r="G946" s="2"/>
      <c r="H946" s="2"/>
      <c r="I946" s="2"/>
      <c r="J946" s="2"/>
      <c r="K946" s="2"/>
    </row>
    <row r="947" customFormat="false" ht="15.75" hidden="false" customHeight="false" outlineLevel="0" collapsed="false">
      <c r="A947" s="2"/>
      <c r="B947" s="2"/>
      <c r="C947" s="2"/>
      <c r="D947" s="2"/>
      <c r="E947" s="2"/>
      <c r="F947" s="2"/>
      <c r="G947" s="2"/>
      <c r="H947" s="2"/>
      <c r="I947" s="2"/>
      <c r="J947" s="2"/>
      <c r="K947" s="2"/>
    </row>
    <row r="948" customFormat="false" ht="15.75" hidden="false" customHeight="false" outlineLevel="0" collapsed="false">
      <c r="A948" s="2"/>
      <c r="B948" s="2"/>
      <c r="C948" s="2"/>
      <c r="D948" s="2"/>
      <c r="E948" s="2"/>
      <c r="F948" s="2"/>
      <c r="G948" s="2"/>
      <c r="H948" s="2"/>
      <c r="I948" s="2"/>
      <c r="J948" s="2"/>
      <c r="K948" s="2"/>
    </row>
    <row r="949" customFormat="false" ht="15.75" hidden="false" customHeight="false" outlineLevel="0" collapsed="false">
      <c r="A949" s="2"/>
      <c r="B949" s="2"/>
      <c r="C949" s="2"/>
      <c r="D949" s="2"/>
      <c r="E949" s="2"/>
      <c r="F949" s="2"/>
      <c r="G949" s="2"/>
      <c r="H949" s="2"/>
      <c r="I949" s="2"/>
      <c r="J949" s="2"/>
      <c r="K949" s="2"/>
    </row>
    <row r="950" customFormat="false" ht="15.75" hidden="false" customHeight="false" outlineLevel="0" collapsed="false">
      <c r="A950" s="2"/>
      <c r="B950" s="2"/>
      <c r="C950" s="2"/>
      <c r="D950" s="2"/>
      <c r="E950" s="2"/>
      <c r="F950" s="2"/>
      <c r="G950" s="2"/>
      <c r="H950" s="2"/>
      <c r="I950" s="2"/>
      <c r="J950" s="2"/>
      <c r="K950" s="2"/>
    </row>
    <row r="951" customFormat="false" ht="15.75" hidden="false" customHeight="false" outlineLevel="0" collapsed="false">
      <c r="A951" s="2"/>
      <c r="B951" s="2"/>
      <c r="C951" s="2"/>
      <c r="D951" s="2"/>
      <c r="E951" s="2"/>
      <c r="F951" s="2"/>
      <c r="G951" s="2"/>
      <c r="H951" s="2"/>
      <c r="I951" s="2"/>
      <c r="J951" s="2"/>
      <c r="K951" s="2"/>
    </row>
    <row r="952" customFormat="false" ht="15.75" hidden="false" customHeight="false" outlineLevel="0" collapsed="false">
      <c r="A952" s="2"/>
      <c r="B952" s="2"/>
      <c r="C952" s="2"/>
      <c r="D952" s="2"/>
      <c r="E952" s="2"/>
      <c r="F952" s="2"/>
      <c r="G952" s="2"/>
      <c r="H952" s="2"/>
      <c r="I952" s="2"/>
      <c r="J952" s="2"/>
      <c r="K952" s="2"/>
    </row>
    <row r="953" customFormat="false" ht="15.75" hidden="false" customHeight="false" outlineLevel="0" collapsed="false">
      <c r="A953" s="2"/>
      <c r="B953" s="2"/>
      <c r="C953" s="2"/>
      <c r="D953" s="2"/>
      <c r="E953" s="2"/>
      <c r="F953" s="2"/>
      <c r="G953" s="2"/>
      <c r="H953" s="2"/>
      <c r="I953" s="2"/>
      <c r="J953" s="2"/>
      <c r="K953" s="2"/>
    </row>
    <row r="954" customFormat="false" ht="15.75" hidden="false" customHeight="false" outlineLevel="0" collapsed="false">
      <c r="A954" s="2"/>
      <c r="B954" s="2"/>
      <c r="C954" s="2"/>
      <c r="D954" s="2"/>
      <c r="E954" s="2"/>
      <c r="F954" s="2"/>
      <c r="G954" s="2"/>
      <c r="H954" s="2"/>
      <c r="I954" s="2"/>
      <c r="J954" s="2"/>
      <c r="K954" s="2"/>
    </row>
    <row r="955" customFormat="false" ht="15.75" hidden="false" customHeight="false" outlineLevel="0" collapsed="false">
      <c r="A955" s="2"/>
      <c r="B955" s="2"/>
      <c r="C955" s="2"/>
      <c r="D955" s="2"/>
      <c r="E955" s="2"/>
      <c r="F955" s="2"/>
      <c r="G955" s="2"/>
      <c r="H955" s="2"/>
      <c r="I955" s="2"/>
      <c r="J955" s="2"/>
      <c r="K955" s="2"/>
    </row>
    <row r="956" customFormat="false" ht="15.75" hidden="false" customHeight="false" outlineLevel="0" collapsed="false">
      <c r="A956" s="2"/>
      <c r="B956" s="2"/>
      <c r="C956" s="2"/>
      <c r="D956" s="2"/>
      <c r="E956" s="2"/>
      <c r="F956" s="2"/>
      <c r="G956" s="2"/>
      <c r="H956" s="2"/>
      <c r="I956" s="2"/>
      <c r="J956" s="2"/>
      <c r="K956" s="2"/>
    </row>
    <row r="957" customFormat="false" ht="15.75" hidden="false" customHeight="false" outlineLevel="0" collapsed="false">
      <c r="A957" s="2"/>
      <c r="B957" s="2"/>
      <c r="C957" s="2"/>
      <c r="D957" s="2"/>
      <c r="E957" s="2"/>
      <c r="F957" s="2"/>
      <c r="G957" s="2"/>
      <c r="H957" s="2"/>
      <c r="I957" s="2"/>
      <c r="J957" s="2"/>
      <c r="K957" s="2"/>
    </row>
    <row r="958" customFormat="false" ht="15.75" hidden="false" customHeight="false" outlineLevel="0" collapsed="false">
      <c r="A958" s="2"/>
      <c r="B958" s="2"/>
      <c r="C958" s="2"/>
      <c r="D958" s="2"/>
      <c r="E958" s="2"/>
      <c r="F958" s="2"/>
      <c r="G958" s="2"/>
      <c r="H958" s="2"/>
      <c r="I958" s="2"/>
      <c r="J958" s="2"/>
      <c r="K958" s="2"/>
    </row>
    <row r="959" customFormat="false" ht="15.75" hidden="false" customHeight="false" outlineLevel="0" collapsed="false">
      <c r="A959" s="2"/>
      <c r="B959" s="2"/>
      <c r="C959" s="2"/>
      <c r="D959" s="2"/>
      <c r="E959" s="2"/>
      <c r="F959" s="2"/>
      <c r="G959" s="2"/>
      <c r="H959" s="2"/>
      <c r="I959" s="2"/>
      <c r="J959" s="2"/>
      <c r="K959" s="2"/>
    </row>
    <row r="960" customFormat="false" ht="15.75" hidden="false" customHeight="false" outlineLevel="0" collapsed="false">
      <c r="A960" s="2"/>
      <c r="B960" s="2"/>
      <c r="C960" s="2"/>
      <c r="D960" s="2"/>
      <c r="E960" s="2"/>
      <c r="F960" s="2"/>
      <c r="G960" s="2"/>
      <c r="H960" s="2"/>
      <c r="I960" s="2"/>
      <c r="J960" s="2"/>
      <c r="K960" s="2"/>
    </row>
    <row r="961" customFormat="false" ht="15.75" hidden="false" customHeight="false" outlineLevel="0" collapsed="false">
      <c r="A961" s="2"/>
      <c r="B961" s="2"/>
      <c r="C961" s="2"/>
      <c r="D961" s="2"/>
      <c r="E961" s="2"/>
      <c r="F961" s="2"/>
      <c r="G961" s="2"/>
      <c r="H961" s="2"/>
      <c r="I961" s="2"/>
      <c r="J961" s="2"/>
      <c r="K961" s="2"/>
    </row>
    <row r="962" customFormat="false" ht="15.75" hidden="false" customHeight="false" outlineLevel="0" collapsed="false">
      <c r="A962" s="2"/>
      <c r="B962" s="2"/>
      <c r="C962" s="2"/>
      <c r="D962" s="2"/>
      <c r="E962" s="2"/>
      <c r="F962" s="2"/>
      <c r="G962" s="2"/>
      <c r="H962" s="2"/>
      <c r="I962" s="2"/>
      <c r="J962" s="2"/>
      <c r="K962" s="2"/>
    </row>
    <row r="963" customFormat="false" ht="15.75" hidden="false" customHeight="false" outlineLevel="0" collapsed="false">
      <c r="A963" s="2"/>
      <c r="B963" s="2"/>
      <c r="C963" s="2"/>
      <c r="D963" s="2"/>
      <c r="E963" s="2"/>
      <c r="F963" s="2"/>
      <c r="G963" s="2"/>
      <c r="H963" s="2"/>
      <c r="I963" s="2"/>
      <c r="J963" s="2"/>
      <c r="K963" s="2"/>
    </row>
    <row r="964" customFormat="false" ht="15.75" hidden="false" customHeight="false" outlineLevel="0" collapsed="false">
      <c r="A964" s="2"/>
      <c r="B964" s="2"/>
      <c r="C964" s="2"/>
      <c r="D964" s="2"/>
      <c r="E964" s="2"/>
      <c r="F964" s="2"/>
      <c r="G964" s="2"/>
      <c r="H964" s="2"/>
      <c r="I964" s="2"/>
      <c r="J964" s="2"/>
      <c r="K964" s="2"/>
    </row>
    <row r="965" customFormat="false" ht="15.75" hidden="false" customHeight="false" outlineLevel="0" collapsed="false">
      <c r="A965" s="2"/>
      <c r="B965" s="2"/>
      <c r="C965" s="2"/>
      <c r="D965" s="2"/>
      <c r="E965" s="2"/>
      <c r="F965" s="2"/>
      <c r="G965" s="2"/>
      <c r="H965" s="2"/>
      <c r="I965" s="2"/>
      <c r="J965" s="2"/>
      <c r="K965" s="2"/>
    </row>
    <row r="966" customFormat="false" ht="15.75" hidden="false" customHeight="false" outlineLevel="0" collapsed="false">
      <c r="A966" s="2"/>
      <c r="B966" s="2"/>
      <c r="C966" s="2"/>
      <c r="D966" s="2"/>
      <c r="E966" s="2"/>
      <c r="F966" s="2"/>
      <c r="G966" s="2"/>
      <c r="H966" s="2"/>
      <c r="I966" s="2"/>
      <c r="J966" s="2"/>
      <c r="K966" s="2"/>
    </row>
    <row r="967" customFormat="false" ht="15.75" hidden="false" customHeight="false" outlineLevel="0" collapsed="false">
      <c r="A967" s="2"/>
      <c r="B967" s="2"/>
      <c r="C967" s="2"/>
      <c r="D967" s="2"/>
      <c r="E967" s="2"/>
      <c r="F967" s="2"/>
      <c r="G967" s="2"/>
      <c r="H967" s="2"/>
      <c r="I967" s="2"/>
      <c r="J967" s="2"/>
      <c r="K967" s="2"/>
    </row>
    <row r="968" customFormat="false" ht="15.75" hidden="false" customHeight="false" outlineLevel="0" collapsed="false">
      <c r="A968" s="2"/>
      <c r="B968" s="2"/>
      <c r="C968" s="2"/>
      <c r="D968" s="2"/>
      <c r="E968" s="2"/>
      <c r="F968" s="2"/>
      <c r="G968" s="2"/>
      <c r="H968" s="2"/>
      <c r="I968" s="2"/>
      <c r="J968" s="2"/>
      <c r="K968" s="2"/>
    </row>
    <row r="969" customFormat="false" ht="15.75" hidden="false" customHeight="false" outlineLevel="0" collapsed="false">
      <c r="A969" s="2"/>
      <c r="B969" s="2"/>
      <c r="C969" s="2"/>
      <c r="D969" s="2"/>
      <c r="E969" s="2"/>
      <c r="F969" s="2"/>
      <c r="G969" s="2"/>
      <c r="H969" s="2"/>
      <c r="I969" s="2"/>
      <c r="J969" s="2"/>
      <c r="K969" s="2"/>
    </row>
    <row r="970" customFormat="false" ht="15.75" hidden="false" customHeight="false" outlineLevel="0" collapsed="false">
      <c r="A970" s="2"/>
      <c r="B970" s="2"/>
      <c r="C970" s="2"/>
      <c r="D970" s="2"/>
      <c r="E970" s="2"/>
      <c r="F970" s="2"/>
      <c r="G970" s="2"/>
      <c r="H970" s="2"/>
      <c r="I970" s="2"/>
      <c r="J970" s="2"/>
      <c r="K970" s="2"/>
    </row>
    <row r="971" customFormat="false" ht="15.75" hidden="false" customHeight="false" outlineLevel="0" collapsed="false">
      <c r="A971" s="2"/>
      <c r="B971" s="2"/>
      <c r="C971" s="2"/>
      <c r="D971" s="2"/>
      <c r="E971" s="2"/>
      <c r="F971" s="2"/>
      <c r="G971" s="2"/>
      <c r="H971" s="2"/>
      <c r="I971" s="2"/>
      <c r="J971" s="2"/>
      <c r="K971" s="2"/>
    </row>
    <row r="972" customFormat="false" ht="15.75" hidden="false" customHeight="false" outlineLevel="0" collapsed="false">
      <c r="A972" s="2"/>
      <c r="B972" s="2"/>
      <c r="C972" s="2"/>
      <c r="D972" s="2"/>
      <c r="E972" s="2"/>
      <c r="F972" s="2"/>
      <c r="G972" s="2"/>
      <c r="H972" s="2"/>
      <c r="I972" s="2"/>
      <c r="J972" s="2"/>
      <c r="K972" s="2"/>
    </row>
    <row r="973" customFormat="false" ht="15.75" hidden="false" customHeight="false" outlineLevel="0" collapsed="false">
      <c r="A973" s="2"/>
      <c r="B973" s="2"/>
      <c r="C973" s="2"/>
      <c r="D973" s="2"/>
      <c r="E973" s="2"/>
      <c r="F973" s="2"/>
      <c r="G973" s="2"/>
      <c r="H973" s="2"/>
      <c r="I973" s="2"/>
      <c r="J973" s="2"/>
      <c r="K973" s="2"/>
    </row>
    <row r="974" customFormat="false" ht="15.75" hidden="false" customHeight="false" outlineLevel="0" collapsed="false">
      <c r="A974" s="2"/>
      <c r="B974" s="2"/>
      <c r="C974" s="2"/>
      <c r="D974" s="2"/>
      <c r="E974" s="2"/>
      <c r="F974" s="2"/>
      <c r="G974" s="2"/>
      <c r="H974" s="2"/>
      <c r="I974" s="2"/>
      <c r="J974" s="2"/>
      <c r="K974" s="2"/>
    </row>
    <row r="975" customFormat="false" ht="15.75" hidden="false" customHeight="false" outlineLevel="0" collapsed="false">
      <c r="A975" s="2"/>
      <c r="B975" s="2"/>
      <c r="C975" s="2"/>
      <c r="D975" s="2"/>
      <c r="E975" s="2"/>
      <c r="F975" s="2"/>
      <c r="G975" s="2"/>
      <c r="H975" s="2"/>
      <c r="I975" s="2"/>
      <c r="J975" s="2"/>
      <c r="K975" s="2"/>
    </row>
    <row r="976" customFormat="false" ht="15.75" hidden="false" customHeight="false" outlineLevel="0" collapsed="false">
      <c r="A976" s="2"/>
      <c r="B976" s="2"/>
      <c r="C976" s="2"/>
      <c r="D976" s="2"/>
      <c r="E976" s="2"/>
      <c r="F976" s="2"/>
      <c r="G976" s="2"/>
      <c r="H976" s="2"/>
      <c r="I976" s="2"/>
      <c r="J976" s="2"/>
      <c r="K976" s="2"/>
    </row>
    <row r="977" customFormat="false" ht="15.75" hidden="false" customHeight="false" outlineLevel="0" collapsed="false">
      <c r="A977" s="2"/>
      <c r="B977" s="2"/>
      <c r="C977" s="2"/>
      <c r="D977" s="2"/>
      <c r="E977" s="2"/>
      <c r="F977" s="2"/>
      <c r="G977" s="2"/>
      <c r="H977" s="2"/>
      <c r="I977" s="2"/>
      <c r="J977" s="2"/>
      <c r="K977" s="2"/>
    </row>
    <row r="978" customFormat="false" ht="15.75" hidden="false" customHeight="false" outlineLevel="0" collapsed="false">
      <c r="A978" s="2"/>
      <c r="B978" s="2"/>
      <c r="C978" s="2"/>
      <c r="D978" s="2"/>
      <c r="E978" s="2"/>
      <c r="F978" s="2"/>
      <c r="G978" s="2"/>
      <c r="H978" s="2"/>
      <c r="I978" s="2"/>
      <c r="J978" s="2"/>
      <c r="K978" s="2"/>
    </row>
    <row r="979" customFormat="false" ht="15.75" hidden="false" customHeight="false" outlineLevel="0" collapsed="false">
      <c r="A979" s="2"/>
      <c r="B979" s="2"/>
      <c r="C979" s="2"/>
      <c r="D979" s="2"/>
      <c r="E979" s="2"/>
      <c r="F979" s="2"/>
      <c r="G979" s="2"/>
      <c r="H979" s="2"/>
      <c r="I979" s="2"/>
      <c r="J979" s="2"/>
      <c r="K979" s="2"/>
    </row>
    <row r="980" customFormat="false" ht="15.75" hidden="false" customHeight="false" outlineLevel="0" collapsed="false">
      <c r="A980" s="2"/>
      <c r="B980" s="2"/>
      <c r="C980" s="2"/>
      <c r="D980" s="2"/>
      <c r="E980" s="2"/>
      <c r="F980" s="2"/>
      <c r="G980" s="2"/>
      <c r="H980" s="2"/>
      <c r="I980" s="2"/>
      <c r="J980" s="2"/>
      <c r="K980" s="2"/>
    </row>
    <row r="981" customFormat="false" ht="15.75" hidden="false" customHeight="false" outlineLevel="0" collapsed="false">
      <c r="A981" s="2"/>
      <c r="B981" s="2"/>
      <c r="C981" s="2"/>
      <c r="D981" s="2"/>
      <c r="E981" s="2"/>
      <c r="F981" s="2"/>
      <c r="G981" s="2"/>
      <c r="H981" s="2"/>
      <c r="I981" s="2"/>
      <c r="J981" s="2"/>
      <c r="K981" s="2"/>
    </row>
    <row r="982" customFormat="false" ht="15.75" hidden="false" customHeight="false" outlineLevel="0" collapsed="false">
      <c r="A982" s="2"/>
      <c r="B982" s="2"/>
      <c r="C982" s="2"/>
      <c r="D982" s="2"/>
      <c r="E982" s="2"/>
      <c r="F982" s="2"/>
      <c r="G982" s="2"/>
      <c r="H982" s="2"/>
      <c r="I982" s="2"/>
      <c r="J982" s="2"/>
      <c r="K982" s="2"/>
    </row>
    <row r="983" customFormat="false" ht="15.75" hidden="false" customHeight="false" outlineLevel="0" collapsed="false">
      <c r="A983" s="2"/>
      <c r="B983" s="2"/>
      <c r="C983" s="2"/>
      <c r="D983" s="2"/>
      <c r="E983" s="2"/>
      <c r="F983" s="2"/>
      <c r="G983" s="2"/>
      <c r="H983" s="2"/>
      <c r="I983" s="2"/>
      <c r="J983" s="2"/>
      <c r="K983" s="2"/>
    </row>
    <row r="984" customFormat="false" ht="15.75" hidden="false" customHeight="false" outlineLevel="0" collapsed="false">
      <c r="A984" s="2"/>
      <c r="B984" s="2"/>
      <c r="C984" s="2"/>
      <c r="D984" s="2"/>
      <c r="E984" s="2"/>
      <c r="F984" s="2"/>
      <c r="G984" s="2"/>
      <c r="H984" s="2"/>
      <c r="I984" s="2"/>
      <c r="J984" s="2"/>
      <c r="K984" s="2"/>
    </row>
    <row r="985" customFormat="false" ht="15.75" hidden="false" customHeight="false" outlineLevel="0" collapsed="false">
      <c r="A985" s="2"/>
      <c r="B985" s="2"/>
      <c r="C985" s="2"/>
      <c r="D985" s="2"/>
      <c r="E985" s="2"/>
      <c r="F985" s="2"/>
      <c r="G985" s="2"/>
      <c r="H985" s="2"/>
      <c r="I985" s="2"/>
      <c r="J985" s="2"/>
      <c r="K985" s="2"/>
    </row>
    <row r="986" customFormat="false" ht="15.75" hidden="false" customHeight="false" outlineLevel="0" collapsed="false">
      <c r="A986" s="2"/>
      <c r="B986" s="2"/>
      <c r="C986" s="2"/>
      <c r="D986" s="2"/>
      <c r="E986" s="2"/>
      <c r="F986" s="2"/>
      <c r="G986" s="2"/>
      <c r="H986" s="2"/>
      <c r="I986" s="2"/>
      <c r="J986" s="2"/>
      <c r="K986" s="2"/>
    </row>
    <row r="987" customFormat="false" ht="15.75" hidden="false" customHeight="false" outlineLevel="0" collapsed="false">
      <c r="A987" s="2"/>
      <c r="B987" s="2"/>
      <c r="C987" s="2"/>
      <c r="D987" s="2"/>
      <c r="E987" s="2"/>
      <c r="F987" s="2"/>
      <c r="G987" s="2"/>
      <c r="H987" s="2"/>
      <c r="I987" s="2"/>
      <c r="J987" s="2"/>
      <c r="K987" s="2"/>
    </row>
    <row r="988" customFormat="false" ht="15.75" hidden="false" customHeight="false" outlineLevel="0" collapsed="false">
      <c r="A988" s="2"/>
      <c r="B988" s="2"/>
      <c r="C988" s="2"/>
      <c r="D988" s="2"/>
      <c r="E988" s="2"/>
      <c r="F988" s="2"/>
      <c r="G988" s="2"/>
      <c r="H988" s="2"/>
      <c r="I988" s="2"/>
      <c r="J988" s="2"/>
      <c r="K988" s="2"/>
    </row>
    <row r="989" customFormat="false" ht="15.75" hidden="false" customHeight="false" outlineLevel="0" collapsed="false">
      <c r="A989" s="2"/>
      <c r="B989" s="2"/>
      <c r="C989" s="2"/>
      <c r="D989" s="2"/>
      <c r="E989" s="2"/>
      <c r="F989" s="2"/>
      <c r="G989" s="2"/>
      <c r="H989" s="2"/>
      <c r="I989" s="2"/>
      <c r="J989" s="2"/>
      <c r="K989" s="2"/>
    </row>
    <row r="990" customFormat="false" ht="15.75" hidden="false" customHeight="false" outlineLevel="0" collapsed="false">
      <c r="A990" s="2"/>
      <c r="B990" s="2"/>
      <c r="C990" s="2"/>
      <c r="D990" s="2"/>
      <c r="E990" s="2"/>
      <c r="F990" s="2"/>
      <c r="G990" s="2"/>
      <c r="H990" s="2"/>
      <c r="I990" s="2"/>
      <c r="J990" s="2"/>
      <c r="K990" s="2"/>
    </row>
    <row r="991" customFormat="false" ht="15.75" hidden="false" customHeight="false" outlineLevel="0" collapsed="false">
      <c r="A991" s="2"/>
      <c r="B991" s="2"/>
      <c r="C991" s="2"/>
      <c r="D991" s="2"/>
      <c r="E991" s="2"/>
      <c r="F991" s="2"/>
      <c r="G991" s="2"/>
      <c r="H991" s="2"/>
      <c r="I991" s="2"/>
      <c r="J991" s="2"/>
      <c r="K991" s="2"/>
    </row>
    <row r="992" customFormat="false" ht="15.75" hidden="false" customHeight="false" outlineLevel="0" collapsed="false">
      <c r="A992" s="2"/>
      <c r="B992" s="2"/>
      <c r="C992" s="2"/>
      <c r="D992" s="2"/>
      <c r="E992" s="2"/>
      <c r="F992" s="2"/>
      <c r="G992" s="2"/>
      <c r="H992" s="2"/>
      <c r="I992" s="2"/>
      <c r="J992" s="2"/>
      <c r="K992" s="2"/>
    </row>
    <row r="993" customFormat="false" ht="15.75" hidden="false" customHeight="false" outlineLevel="0" collapsed="false">
      <c r="A993" s="2"/>
      <c r="B993" s="2"/>
      <c r="C993" s="2"/>
      <c r="D993" s="2"/>
      <c r="E993" s="2"/>
      <c r="F993" s="2"/>
      <c r="G993" s="2"/>
      <c r="H993" s="2"/>
      <c r="I993" s="2"/>
      <c r="J993" s="2"/>
      <c r="K993" s="2"/>
    </row>
    <row r="994" customFormat="false" ht="15.75" hidden="false" customHeight="false" outlineLevel="0" collapsed="false">
      <c r="A994" s="2"/>
      <c r="B994" s="2"/>
      <c r="C994" s="2"/>
      <c r="D994" s="2"/>
      <c r="E994" s="2"/>
      <c r="F994" s="2"/>
      <c r="G994" s="2"/>
      <c r="H994" s="2"/>
      <c r="I994" s="2"/>
      <c r="J994" s="2"/>
      <c r="K994" s="2"/>
    </row>
    <row r="995" customFormat="false" ht="15.75" hidden="false" customHeight="false" outlineLevel="0" collapsed="false">
      <c r="A995" s="2"/>
      <c r="B995" s="2"/>
      <c r="C995" s="2"/>
      <c r="D995" s="2"/>
      <c r="E995" s="2"/>
      <c r="F995" s="2"/>
      <c r="G995" s="2"/>
      <c r="H995" s="2"/>
      <c r="I995" s="2"/>
      <c r="J995" s="2"/>
      <c r="K995" s="2"/>
    </row>
    <row r="996" customFormat="false" ht="15.75" hidden="false" customHeight="false" outlineLevel="0" collapsed="false">
      <c r="A996" s="2"/>
      <c r="B996" s="2"/>
      <c r="C996" s="2"/>
      <c r="D996" s="2"/>
      <c r="E996" s="2"/>
      <c r="F996" s="2"/>
      <c r="G996" s="2"/>
      <c r="H996" s="2"/>
      <c r="I996" s="2"/>
      <c r="J996" s="2"/>
      <c r="K996" s="2"/>
    </row>
    <row r="997" customFormat="false" ht="15.75" hidden="false" customHeight="false" outlineLevel="0" collapsed="false">
      <c r="A997" s="2"/>
      <c r="B997" s="2"/>
      <c r="C997" s="2"/>
      <c r="D997" s="2"/>
      <c r="E997" s="2"/>
      <c r="F997" s="2"/>
      <c r="G997" s="2"/>
      <c r="H997" s="2"/>
      <c r="I997" s="2"/>
      <c r="J997" s="2"/>
      <c r="K997" s="2"/>
    </row>
    <row r="998" customFormat="false" ht="15.75" hidden="false" customHeight="false" outlineLevel="0" collapsed="false">
      <c r="A998" s="2"/>
      <c r="B998" s="2"/>
      <c r="C998" s="2"/>
      <c r="D998" s="2"/>
      <c r="E998" s="2"/>
      <c r="F998" s="2"/>
      <c r="G998" s="2"/>
      <c r="H998" s="2"/>
      <c r="I998" s="2"/>
      <c r="J998" s="2"/>
      <c r="K998" s="2"/>
    </row>
    <row r="999" customFormat="false" ht="15.75" hidden="false" customHeight="false" outlineLevel="0" collapsed="false">
      <c r="A999" s="2"/>
      <c r="B999" s="2"/>
      <c r="C999" s="2"/>
      <c r="D999" s="2"/>
      <c r="E999" s="2"/>
      <c r="F999" s="2"/>
      <c r="G999" s="2"/>
      <c r="H999" s="2"/>
      <c r="I999" s="2"/>
      <c r="J999" s="2"/>
      <c r="K999" s="2"/>
    </row>
    <row r="1000" customFormat="false" ht="15.75" hidden="false" customHeight="false" outlineLevel="0" collapsed="false">
      <c r="A1000" s="2"/>
      <c r="B1000" s="2"/>
      <c r="C1000" s="2"/>
      <c r="D1000" s="2"/>
      <c r="E1000" s="2"/>
      <c r="F1000" s="2"/>
      <c r="G1000" s="2"/>
      <c r="H1000" s="2"/>
      <c r="I1000" s="2"/>
      <c r="J1000" s="2"/>
      <c r="K1000" s="2"/>
    </row>
    <row r="1001" customFormat="false" ht="15.75" hidden="false" customHeight="false" outlineLevel="0" collapsed="false">
      <c r="A1001" s="2"/>
      <c r="B1001" s="2"/>
      <c r="C1001" s="2"/>
      <c r="D1001" s="2"/>
      <c r="E1001" s="2"/>
      <c r="F1001" s="2"/>
      <c r="G1001" s="2"/>
      <c r="H1001" s="2"/>
      <c r="I1001" s="2"/>
      <c r="J1001" s="2"/>
      <c r="K1001" s="2"/>
    </row>
    <row r="1002" customFormat="false" ht="15.75" hidden="false" customHeight="false" outlineLevel="0" collapsed="false">
      <c r="A1002" s="2"/>
      <c r="B1002" s="2"/>
      <c r="C1002" s="2"/>
      <c r="D1002" s="2"/>
      <c r="E1002" s="2"/>
      <c r="F1002" s="2"/>
      <c r="G1002" s="2"/>
      <c r="H1002" s="2"/>
      <c r="I1002" s="2"/>
      <c r="J1002" s="2"/>
      <c r="K1002" s="2"/>
    </row>
    <row r="1003" customFormat="false" ht="15.75" hidden="false" customHeight="false" outlineLevel="0" collapsed="false">
      <c r="A1003" s="2"/>
      <c r="B1003" s="2"/>
      <c r="C1003" s="2"/>
      <c r="D1003" s="2"/>
      <c r="E1003" s="2"/>
      <c r="F1003" s="2"/>
      <c r="G1003" s="2"/>
      <c r="H1003" s="2"/>
      <c r="I1003" s="2"/>
      <c r="J1003" s="2"/>
      <c r="K1003" s="2"/>
    </row>
    <row r="1004" customFormat="false" ht="15.75" hidden="false" customHeight="false" outlineLevel="0" collapsed="false">
      <c r="A1004" s="2"/>
      <c r="B1004" s="2"/>
      <c r="C1004" s="2"/>
      <c r="D1004" s="2"/>
      <c r="E1004" s="2"/>
      <c r="F1004" s="2"/>
      <c r="G1004" s="2"/>
      <c r="H1004" s="2"/>
      <c r="I1004" s="2"/>
      <c r="J1004" s="2"/>
      <c r="K1004" s="2"/>
    </row>
    <row r="1005" customFormat="false" ht="15.75" hidden="false" customHeight="false" outlineLevel="0" collapsed="false">
      <c r="A1005" s="2"/>
      <c r="B1005" s="2"/>
      <c r="C1005" s="2"/>
      <c r="D1005" s="2"/>
      <c r="E1005" s="2"/>
      <c r="F1005" s="2"/>
      <c r="G1005" s="2"/>
      <c r="H1005" s="2"/>
      <c r="I1005" s="2"/>
      <c r="J1005" s="2"/>
      <c r="K1005" s="2"/>
    </row>
    <row r="1006" customFormat="false" ht="15.75" hidden="false" customHeight="false" outlineLevel="0" collapsed="false">
      <c r="A1006" s="2"/>
      <c r="B1006" s="2"/>
      <c r="C1006" s="2"/>
      <c r="D1006" s="2"/>
      <c r="E1006" s="2"/>
      <c r="F1006" s="2"/>
      <c r="G1006" s="2"/>
      <c r="H1006" s="2"/>
      <c r="I1006" s="2"/>
      <c r="J1006" s="2"/>
      <c r="K1006" s="2"/>
    </row>
    <row r="1007" customFormat="false" ht="15.75" hidden="false" customHeight="false" outlineLevel="0" collapsed="false">
      <c r="A1007" s="2"/>
      <c r="B1007" s="2"/>
      <c r="C1007" s="2"/>
      <c r="D1007" s="2"/>
      <c r="E1007" s="2"/>
      <c r="F1007" s="2"/>
      <c r="G1007" s="2"/>
      <c r="H1007" s="2"/>
      <c r="I1007" s="2"/>
      <c r="J1007" s="2"/>
      <c r="K1007" s="2"/>
    </row>
    <row r="1008" customFormat="false" ht="15.75" hidden="false" customHeight="false" outlineLevel="0" collapsed="false">
      <c r="A1008" s="2"/>
      <c r="B1008" s="2"/>
      <c r="C1008" s="2"/>
      <c r="D1008" s="2"/>
      <c r="E1008" s="2"/>
      <c r="F1008" s="2"/>
      <c r="G1008" s="2"/>
      <c r="H1008" s="2"/>
      <c r="I1008" s="2"/>
      <c r="J1008" s="2"/>
      <c r="K1008" s="2"/>
    </row>
    <row r="1009" customFormat="false" ht="15.75" hidden="false" customHeight="false" outlineLevel="0" collapsed="false">
      <c r="A1009" s="2"/>
      <c r="B1009" s="2"/>
      <c r="C1009" s="2"/>
      <c r="D1009" s="2"/>
      <c r="E1009" s="2"/>
      <c r="F1009" s="2"/>
      <c r="G1009" s="2"/>
      <c r="H1009" s="2"/>
      <c r="I1009" s="2"/>
      <c r="J1009" s="2"/>
      <c r="K1009" s="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15.75"/>
    <col collapsed="false" customWidth="true" hidden="false" outlineLevel="0" max="2" min="2" style="0" width="25.12"/>
    <col collapsed="false" customWidth="true" hidden="false" outlineLevel="0" max="3" min="3" style="0" width="19.88"/>
    <col collapsed="false" customWidth="true" hidden="false" outlineLevel="0" max="4" min="4" style="0" width="38.38"/>
    <col collapsed="false" customWidth="true" hidden="false" outlineLevel="0" max="5" min="5" style="0" width="46.25"/>
    <col collapsed="false" customWidth="true" hidden="false" outlineLevel="0" max="6" min="6" style="0" width="38"/>
    <col collapsed="false" customWidth="true" hidden="false" outlineLevel="0" max="7" min="7" style="0" width="33"/>
  </cols>
  <sheetData>
    <row r="1" customFormat="false" ht="15.75" hidden="true" customHeight="false" outlineLevel="0" collapsed="false">
      <c r="A1" s="21" t="s">
        <v>478</v>
      </c>
      <c r="B1" s="21" t="s">
        <v>479</v>
      </c>
      <c r="C1" s="21" t="s">
        <v>480</v>
      </c>
      <c r="D1" s="22" t="s">
        <v>481</v>
      </c>
      <c r="E1" s="21" t="s">
        <v>482</v>
      </c>
      <c r="F1" s="21" t="s">
        <v>483</v>
      </c>
      <c r="G1" s="10"/>
      <c r="H1" s="10"/>
      <c r="I1" s="10"/>
      <c r="J1" s="10"/>
      <c r="K1" s="10"/>
      <c r="L1" s="10"/>
      <c r="M1" s="10"/>
      <c r="N1" s="10"/>
      <c r="O1" s="10"/>
      <c r="P1" s="10"/>
      <c r="Q1" s="10"/>
      <c r="R1" s="10"/>
      <c r="S1" s="10"/>
      <c r="T1" s="10"/>
      <c r="U1" s="10"/>
      <c r="V1" s="10"/>
      <c r="W1" s="10"/>
      <c r="X1" s="10"/>
      <c r="Y1" s="10"/>
      <c r="Z1" s="10"/>
    </row>
    <row r="2" customFormat="false" ht="15.75" hidden="true" customHeight="false" outlineLevel="0" collapsed="false">
      <c r="A2" s="23" t="s">
        <v>484</v>
      </c>
      <c r="B2" s="23"/>
      <c r="C2" s="23"/>
      <c r="D2" s="23"/>
      <c r="E2" s="23"/>
      <c r="F2" s="23"/>
      <c r="G2" s="10"/>
      <c r="H2" s="10"/>
      <c r="I2" s="10"/>
      <c r="J2" s="10"/>
      <c r="K2" s="10"/>
      <c r="L2" s="10"/>
      <c r="M2" s="10"/>
      <c r="N2" s="10"/>
      <c r="O2" s="10"/>
      <c r="P2" s="10"/>
      <c r="Q2" s="10"/>
      <c r="R2" s="10"/>
      <c r="S2" s="10"/>
      <c r="T2" s="10"/>
      <c r="U2" s="10"/>
      <c r="V2" s="10"/>
      <c r="W2" s="10"/>
      <c r="X2" s="10"/>
      <c r="Y2" s="10"/>
      <c r="Z2" s="10"/>
    </row>
    <row r="3" customFormat="false" ht="115.65" hidden="true" customHeight="false" outlineLevel="0" collapsed="false">
      <c r="A3" s="24" t="s">
        <v>485</v>
      </c>
      <c r="B3" s="24" t="s">
        <v>486</v>
      </c>
      <c r="C3" s="24" t="s">
        <v>487</v>
      </c>
      <c r="D3" s="25" t="s">
        <v>488</v>
      </c>
      <c r="E3" s="25" t="s">
        <v>489</v>
      </c>
      <c r="F3" s="25" t="s">
        <v>490</v>
      </c>
      <c r="G3" s="10"/>
      <c r="H3" s="10"/>
      <c r="I3" s="10"/>
      <c r="J3" s="10"/>
      <c r="K3" s="10"/>
      <c r="L3" s="10"/>
      <c r="M3" s="10"/>
      <c r="N3" s="10"/>
      <c r="O3" s="10"/>
      <c r="P3" s="10"/>
      <c r="Q3" s="10"/>
      <c r="R3" s="10"/>
      <c r="S3" s="10"/>
      <c r="T3" s="10"/>
      <c r="U3" s="10"/>
      <c r="V3" s="10"/>
      <c r="W3" s="10"/>
      <c r="X3" s="10"/>
      <c r="Y3" s="10"/>
      <c r="Z3" s="10"/>
    </row>
    <row r="4" customFormat="false" ht="77.6" hidden="true" customHeight="false" outlineLevel="0" collapsed="false">
      <c r="A4" s="24" t="s">
        <v>491</v>
      </c>
      <c r="B4" s="24" t="s">
        <v>492</v>
      </c>
      <c r="C4" s="24" t="s">
        <v>487</v>
      </c>
      <c r="D4" s="25" t="s">
        <v>493</v>
      </c>
      <c r="E4" s="25" t="s">
        <v>494</v>
      </c>
      <c r="F4" s="25" t="s">
        <v>495</v>
      </c>
      <c r="G4" s="10"/>
      <c r="H4" s="10"/>
      <c r="I4" s="10"/>
      <c r="J4" s="10"/>
      <c r="K4" s="10"/>
      <c r="L4" s="10"/>
      <c r="M4" s="10"/>
      <c r="N4" s="10"/>
      <c r="O4" s="10"/>
      <c r="P4" s="10"/>
      <c r="Q4" s="10"/>
      <c r="R4" s="10"/>
      <c r="S4" s="10"/>
      <c r="T4" s="10"/>
      <c r="U4" s="10"/>
      <c r="V4" s="10"/>
      <c r="W4" s="10"/>
      <c r="X4" s="10"/>
      <c r="Y4" s="10"/>
      <c r="Z4" s="10"/>
    </row>
    <row r="5" customFormat="false" ht="52.2" hidden="true" customHeight="false" outlineLevel="0" collapsed="false">
      <c r="A5" s="24" t="s">
        <v>496</v>
      </c>
      <c r="B5" s="24" t="s">
        <v>497</v>
      </c>
      <c r="C5" s="24" t="s">
        <v>487</v>
      </c>
      <c r="D5" s="25" t="s">
        <v>498</v>
      </c>
      <c r="E5" s="25" t="s">
        <v>499</v>
      </c>
      <c r="F5" s="25" t="s">
        <v>500</v>
      </c>
      <c r="G5" s="10"/>
      <c r="H5" s="10"/>
      <c r="I5" s="10"/>
      <c r="J5" s="10"/>
      <c r="K5" s="10"/>
      <c r="L5" s="10"/>
      <c r="M5" s="10"/>
      <c r="N5" s="10"/>
      <c r="O5" s="10"/>
      <c r="P5" s="10"/>
      <c r="Q5" s="10"/>
      <c r="R5" s="10"/>
      <c r="S5" s="10"/>
      <c r="T5" s="10"/>
      <c r="U5" s="10"/>
      <c r="V5" s="10"/>
      <c r="W5" s="10"/>
      <c r="X5" s="10"/>
      <c r="Y5" s="10"/>
      <c r="Z5" s="10"/>
    </row>
    <row r="6" customFormat="false" ht="64.9" hidden="true" customHeight="false" outlineLevel="0" collapsed="false">
      <c r="A6" s="24" t="s">
        <v>501</v>
      </c>
      <c r="B6" s="24" t="s">
        <v>502</v>
      </c>
      <c r="C6" s="24" t="s">
        <v>487</v>
      </c>
      <c r="D6" s="25" t="s">
        <v>503</v>
      </c>
      <c r="E6" s="25" t="s">
        <v>504</v>
      </c>
      <c r="F6" s="25" t="s">
        <v>505</v>
      </c>
      <c r="G6" s="10"/>
      <c r="H6" s="10"/>
      <c r="I6" s="10"/>
      <c r="J6" s="10"/>
      <c r="K6" s="10"/>
      <c r="L6" s="10"/>
      <c r="M6" s="10"/>
      <c r="N6" s="10"/>
      <c r="O6" s="10"/>
      <c r="P6" s="10"/>
      <c r="Q6" s="10"/>
      <c r="R6" s="10"/>
      <c r="S6" s="10"/>
      <c r="T6" s="10"/>
      <c r="U6" s="10"/>
      <c r="V6" s="10"/>
      <c r="W6" s="10"/>
      <c r="X6" s="10"/>
      <c r="Y6" s="10"/>
      <c r="Z6" s="10"/>
    </row>
    <row r="7" customFormat="false" ht="52.2" hidden="true" customHeight="false" outlineLevel="0" collapsed="false">
      <c r="A7" s="24" t="s">
        <v>506</v>
      </c>
      <c r="B7" s="24" t="s">
        <v>507</v>
      </c>
      <c r="C7" s="24" t="s">
        <v>487</v>
      </c>
      <c r="D7" s="25" t="s">
        <v>508</v>
      </c>
      <c r="E7" s="25" t="s">
        <v>509</v>
      </c>
      <c r="F7" s="25" t="s">
        <v>510</v>
      </c>
      <c r="G7" s="10"/>
      <c r="H7" s="10"/>
      <c r="I7" s="10"/>
      <c r="J7" s="10"/>
      <c r="K7" s="10"/>
      <c r="L7" s="10"/>
      <c r="M7" s="10"/>
      <c r="N7" s="10"/>
      <c r="O7" s="10"/>
      <c r="P7" s="10"/>
      <c r="Q7" s="10"/>
      <c r="R7" s="10"/>
      <c r="S7" s="10"/>
      <c r="T7" s="10"/>
      <c r="U7" s="10"/>
      <c r="V7" s="10"/>
      <c r="W7" s="10"/>
      <c r="X7" s="10"/>
      <c r="Y7" s="10"/>
      <c r="Z7" s="10"/>
    </row>
    <row r="8" customFormat="false" ht="52.2" hidden="true" customHeight="false" outlineLevel="0" collapsed="false">
      <c r="A8" s="24" t="s">
        <v>511</v>
      </c>
      <c r="B8" s="24" t="s">
        <v>512</v>
      </c>
      <c r="C8" s="24" t="s">
        <v>487</v>
      </c>
      <c r="D8" s="25" t="s">
        <v>513</v>
      </c>
      <c r="E8" s="25" t="s">
        <v>514</v>
      </c>
      <c r="F8" s="25" t="s">
        <v>515</v>
      </c>
      <c r="G8" s="10"/>
      <c r="H8" s="10"/>
      <c r="I8" s="10"/>
      <c r="J8" s="10"/>
      <c r="K8" s="10"/>
      <c r="L8" s="10"/>
      <c r="M8" s="10"/>
      <c r="N8" s="10"/>
      <c r="O8" s="10"/>
      <c r="P8" s="10"/>
      <c r="Q8" s="10"/>
      <c r="R8" s="10"/>
      <c r="S8" s="10"/>
      <c r="T8" s="10"/>
      <c r="U8" s="10"/>
      <c r="V8" s="10"/>
      <c r="W8" s="10"/>
      <c r="X8" s="10"/>
      <c r="Y8" s="10"/>
      <c r="Z8" s="10"/>
    </row>
    <row r="9" customFormat="false" ht="39.55" hidden="true" customHeight="false" outlineLevel="0" collapsed="false">
      <c r="A9" s="24" t="s">
        <v>516</v>
      </c>
      <c r="B9" s="24" t="s">
        <v>517</v>
      </c>
      <c r="C9" s="24" t="s">
        <v>487</v>
      </c>
      <c r="D9" s="25" t="s">
        <v>518</v>
      </c>
      <c r="E9" s="25" t="s">
        <v>519</v>
      </c>
      <c r="F9" s="25" t="s">
        <v>520</v>
      </c>
      <c r="G9" s="10"/>
      <c r="H9" s="10"/>
      <c r="I9" s="10"/>
      <c r="J9" s="10"/>
      <c r="K9" s="10"/>
      <c r="L9" s="10"/>
      <c r="M9" s="10"/>
      <c r="N9" s="10"/>
      <c r="O9" s="10"/>
      <c r="P9" s="10"/>
      <c r="Q9" s="10"/>
      <c r="R9" s="10"/>
      <c r="S9" s="10"/>
      <c r="T9" s="10"/>
      <c r="U9" s="10"/>
      <c r="V9" s="10"/>
      <c r="W9" s="10"/>
      <c r="X9" s="10"/>
      <c r="Y9" s="10"/>
      <c r="Z9" s="10"/>
    </row>
    <row r="10" customFormat="false" ht="26.85" hidden="true" customHeight="false" outlineLevel="0" collapsed="false">
      <c r="A10" s="24" t="s">
        <v>521</v>
      </c>
      <c r="B10" s="24" t="s">
        <v>522</v>
      </c>
      <c r="C10" s="24" t="s">
        <v>487</v>
      </c>
      <c r="D10" s="25" t="s">
        <v>523</v>
      </c>
      <c r="E10" s="25" t="s">
        <v>524</v>
      </c>
      <c r="F10" s="24" t="s">
        <v>525</v>
      </c>
      <c r="G10" s="10"/>
      <c r="H10" s="10"/>
      <c r="I10" s="10"/>
      <c r="J10" s="10"/>
      <c r="K10" s="10"/>
      <c r="L10" s="10"/>
      <c r="M10" s="10"/>
      <c r="N10" s="10"/>
      <c r="O10" s="10"/>
      <c r="P10" s="10"/>
      <c r="Q10" s="10"/>
      <c r="R10" s="10"/>
      <c r="S10" s="10"/>
      <c r="T10" s="10"/>
      <c r="U10" s="10"/>
      <c r="V10" s="10"/>
      <c r="W10" s="10"/>
      <c r="X10" s="10"/>
      <c r="Y10" s="10"/>
      <c r="Z10" s="10"/>
    </row>
    <row r="11" customFormat="false" ht="39.55" hidden="true" customHeight="false" outlineLevel="0" collapsed="false">
      <c r="A11" s="24" t="s">
        <v>526</v>
      </c>
      <c r="B11" s="24" t="s">
        <v>527</v>
      </c>
      <c r="C11" s="24" t="s">
        <v>487</v>
      </c>
      <c r="D11" s="25" t="s">
        <v>528</v>
      </c>
      <c r="E11" s="25" t="s">
        <v>529</v>
      </c>
      <c r="F11" s="25" t="s">
        <v>530</v>
      </c>
      <c r="G11" s="10"/>
      <c r="H11" s="10"/>
      <c r="I11" s="10"/>
      <c r="J11" s="10"/>
      <c r="K11" s="10"/>
      <c r="L11" s="10"/>
      <c r="M11" s="10"/>
      <c r="N11" s="10"/>
      <c r="O11" s="10"/>
      <c r="P11" s="10"/>
      <c r="Q11" s="10"/>
      <c r="R11" s="10"/>
      <c r="S11" s="10"/>
      <c r="T11" s="10"/>
      <c r="U11" s="10"/>
      <c r="V11" s="10"/>
      <c r="W11" s="10"/>
      <c r="X11" s="10"/>
      <c r="Y11" s="10"/>
      <c r="Z11" s="10"/>
    </row>
    <row r="12" customFormat="false" ht="64.9" hidden="true" customHeight="false" outlineLevel="0" collapsed="false">
      <c r="A12" s="24" t="s">
        <v>531</v>
      </c>
      <c r="B12" s="24" t="s">
        <v>532</v>
      </c>
      <c r="C12" s="24" t="s">
        <v>487</v>
      </c>
      <c r="D12" s="25" t="s">
        <v>533</v>
      </c>
      <c r="E12" s="25" t="s">
        <v>534</v>
      </c>
      <c r="F12" s="25" t="s">
        <v>535</v>
      </c>
      <c r="G12" s="10"/>
      <c r="H12" s="10"/>
      <c r="I12" s="10"/>
      <c r="J12" s="10"/>
      <c r="K12" s="10"/>
      <c r="L12" s="10"/>
      <c r="M12" s="10"/>
      <c r="N12" s="10"/>
      <c r="O12" s="10"/>
      <c r="P12" s="10"/>
      <c r="Q12" s="10"/>
      <c r="R12" s="10"/>
      <c r="S12" s="10"/>
      <c r="T12" s="10"/>
      <c r="U12" s="10"/>
      <c r="V12" s="10"/>
      <c r="W12" s="10"/>
      <c r="X12" s="10"/>
      <c r="Y12" s="10"/>
      <c r="Z12" s="10"/>
    </row>
    <row r="13" customFormat="false" ht="39.55" hidden="true" customHeight="false" outlineLevel="0" collapsed="false">
      <c r="A13" s="24" t="s">
        <v>536</v>
      </c>
      <c r="B13" s="24" t="s">
        <v>537</v>
      </c>
      <c r="C13" s="24" t="s">
        <v>538</v>
      </c>
      <c r="D13" s="25" t="s">
        <v>539</v>
      </c>
      <c r="E13" s="25" t="s">
        <v>540</v>
      </c>
      <c r="F13" s="24" t="s">
        <v>525</v>
      </c>
      <c r="G13" s="10"/>
      <c r="H13" s="10"/>
      <c r="I13" s="10"/>
      <c r="J13" s="10"/>
      <c r="K13" s="10"/>
      <c r="L13" s="10"/>
      <c r="M13" s="10"/>
      <c r="N13" s="10"/>
      <c r="O13" s="10"/>
      <c r="P13" s="10"/>
      <c r="Q13" s="10"/>
      <c r="R13" s="10"/>
      <c r="S13" s="10"/>
      <c r="T13" s="10"/>
      <c r="U13" s="10"/>
      <c r="V13" s="10"/>
      <c r="W13" s="10"/>
      <c r="X13" s="10"/>
      <c r="Y13" s="10"/>
      <c r="Z13" s="10"/>
    </row>
    <row r="14" customFormat="false" ht="26.85" hidden="true" customHeight="false" outlineLevel="0" collapsed="false">
      <c r="A14" s="24" t="s">
        <v>541</v>
      </c>
      <c r="B14" s="24" t="s">
        <v>542</v>
      </c>
      <c r="C14" s="24" t="s">
        <v>538</v>
      </c>
      <c r="D14" s="25" t="s">
        <v>543</v>
      </c>
      <c r="E14" s="25" t="s">
        <v>544</v>
      </c>
      <c r="F14" s="24" t="s">
        <v>525</v>
      </c>
      <c r="G14" s="10"/>
      <c r="H14" s="10"/>
      <c r="I14" s="10"/>
      <c r="J14" s="10"/>
      <c r="K14" s="10"/>
      <c r="L14" s="10"/>
      <c r="M14" s="10"/>
      <c r="N14" s="10"/>
      <c r="O14" s="10"/>
      <c r="P14" s="10"/>
      <c r="Q14" s="10"/>
      <c r="R14" s="10"/>
      <c r="S14" s="10"/>
      <c r="T14" s="10"/>
      <c r="U14" s="10"/>
      <c r="V14" s="10"/>
      <c r="W14" s="10"/>
      <c r="X14" s="10"/>
      <c r="Y14" s="10"/>
      <c r="Z14" s="10"/>
    </row>
    <row r="15" customFormat="false" ht="15.75" hidden="true" customHeight="false" outlineLevel="0" collapsed="false">
      <c r="A15" s="23" t="s">
        <v>545</v>
      </c>
      <c r="B15" s="23"/>
      <c r="C15" s="23"/>
      <c r="D15" s="23"/>
      <c r="E15" s="23"/>
      <c r="F15" s="23"/>
      <c r="G15" s="10"/>
      <c r="H15" s="10"/>
      <c r="I15" s="10"/>
      <c r="J15" s="10"/>
      <c r="K15" s="10"/>
      <c r="L15" s="10"/>
      <c r="M15" s="10"/>
      <c r="N15" s="10"/>
      <c r="O15" s="10"/>
      <c r="P15" s="10"/>
      <c r="Q15" s="10"/>
      <c r="R15" s="10"/>
      <c r="S15" s="10"/>
      <c r="T15" s="10"/>
      <c r="U15" s="10"/>
      <c r="V15" s="10"/>
      <c r="W15" s="10"/>
      <c r="X15" s="10"/>
      <c r="Y15" s="10"/>
      <c r="Z15" s="10"/>
    </row>
    <row r="16" customFormat="false" ht="64.9" hidden="true" customHeight="false" outlineLevel="0" collapsed="false">
      <c r="A16" s="24" t="s">
        <v>546</v>
      </c>
      <c r="B16" s="24" t="s">
        <v>547</v>
      </c>
      <c r="C16" s="24" t="s">
        <v>487</v>
      </c>
      <c r="D16" s="25" t="s">
        <v>548</v>
      </c>
      <c r="E16" s="25" t="s">
        <v>549</v>
      </c>
      <c r="F16" s="25" t="s">
        <v>550</v>
      </c>
      <c r="G16" s="10"/>
      <c r="H16" s="10"/>
      <c r="I16" s="10"/>
      <c r="J16" s="10"/>
      <c r="K16" s="10"/>
      <c r="L16" s="10"/>
      <c r="M16" s="10"/>
      <c r="N16" s="10"/>
      <c r="O16" s="10"/>
      <c r="P16" s="10"/>
      <c r="Q16" s="10"/>
      <c r="R16" s="10"/>
      <c r="S16" s="10"/>
      <c r="T16" s="10"/>
      <c r="U16" s="10"/>
      <c r="V16" s="10"/>
      <c r="W16" s="10"/>
      <c r="X16" s="10"/>
      <c r="Y16" s="10"/>
      <c r="Z16" s="10"/>
    </row>
    <row r="17" customFormat="false" ht="52.2" hidden="true" customHeight="false" outlineLevel="0" collapsed="false">
      <c r="A17" s="24" t="s">
        <v>551</v>
      </c>
      <c r="B17" s="24" t="s">
        <v>552</v>
      </c>
      <c r="C17" s="24" t="s">
        <v>487</v>
      </c>
      <c r="D17" s="25" t="s">
        <v>553</v>
      </c>
      <c r="E17" s="25" t="s">
        <v>554</v>
      </c>
      <c r="F17" s="25" t="s">
        <v>555</v>
      </c>
      <c r="G17" s="10"/>
      <c r="H17" s="10"/>
      <c r="I17" s="10"/>
      <c r="J17" s="10"/>
      <c r="K17" s="10"/>
      <c r="L17" s="10"/>
      <c r="M17" s="10"/>
      <c r="N17" s="10"/>
      <c r="O17" s="10"/>
      <c r="P17" s="10"/>
      <c r="Q17" s="10"/>
      <c r="R17" s="10"/>
      <c r="S17" s="10"/>
      <c r="T17" s="10"/>
      <c r="U17" s="10"/>
      <c r="V17" s="10"/>
      <c r="W17" s="10"/>
      <c r="X17" s="10"/>
      <c r="Y17" s="10"/>
      <c r="Z17" s="10"/>
    </row>
    <row r="18" customFormat="false" ht="15.75" hidden="true" customHeight="false" outlineLevel="0" collapsed="false">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ustomFormat="false" ht="15.75" hidden="true" customHeight="false" outlineLevel="0" collapsed="false">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ustomFormat="false" ht="15.75" hidden="true" customHeight="false" outlineLevel="0" collapsed="false">
      <c r="A20" s="6" t="s">
        <v>556</v>
      </c>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ustomFormat="false" ht="15.75" hidden="true" customHeight="false" outlineLevel="0" collapsed="false">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ustomFormat="false" ht="15.75" hidden="false" customHeight="false" outlineLevel="0" collapsed="false">
      <c r="A22" s="9" t="s">
        <v>557</v>
      </c>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ustomFormat="false" ht="15.75" hidden="false" customHeight="false" outlineLevel="0" collapsed="false">
      <c r="A23" s="10"/>
      <c r="B23" s="26" t="s">
        <v>558</v>
      </c>
      <c r="C23" s="10"/>
      <c r="D23" s="10"/>
      <c r="E23" s="10"/>
      <c r="F23" s="10"/>
      <c r="G23" s="10"/>
      <c r="H23" s="10"/>
      <c r="I23" s="10"/>
      <c r="J23" s="10"/>
      <c r="K23" s="10"/>
      <c r="L23" s="10"/>
      <c r="M23" s="10"/>
      <c r="N23" s="10"/>
      <c r="O23" s="10"/>
      <c r="P23" s="10"/>
      <c r="Q23" s="10"/>
      <c r="R23" s="10"/>
      <c r="S23" s="10"/>
      <c r="T23" s="10"/>
      <c r="U23" s="10"/>
      <c r="V23" s="10"/>
      <c r="W23" s="10"/>
      <c r="X23" s="10"/>
      <c r="Y23" s="10"/>
      <c r="Z23" s="10"/>
    </row>
    <row r="24" customFormat="false" ht="26.85" hidden="false" customHeight="true" outlineLevel="0" collapsed="false">
      <c r="A24" s="10"/>
      <c r="C24" s="27" t="s">
        <v>559</v>
      </c>
      <c r="D24" s="28" t="s">
        <v>560</v>
      </c>
      <c r="E24" s="28"/>
      <c r="F24" s="10"/>
      <c r="G24" s="10"/>
      <c r="H24" s="10"/>
      <c r="I24" s="10"/>
      <c r="J24" s="10"/>
      <c r="K24" s="10"/>
      <c r="L24" s="10"/>
      <c r="M24" s="10"/>
      <c r="N24" s="10"/>
      <c r="O24" s="10"/>
      <c r="P24" s="10"/>
      <c r="Q24" s="10"/>
      <c r="R24" s="10"/>
      <c r="S24" s="10"/>
      <c r="T24" s="10"/>
      <c r="U24" s="10"/>
      <c r="V24" s="10"/>
      <c r="W24" s="10"/>
      <c r="X24" s="10"/>
      <c r="Y24" s="10"/>
      <c r="Z24" s="10"/>
    </row>
    <row r="25" customFormat="false" ht="15.75" hidden="false" customHeight="true" outlineLevel="0" collapsed="false">
      <c r="A25" s="10"/>
      <c r="C25" s="10" t="s">
        <v>561</v>
      </c>
      <c r="D25" s="28" t="s">
        <v>562</v>
      </c>
      <c r="E25" s="28"/>
      <c r="F25" s="10"/>
      <c r="G25" s="10"/>
      <c r="H25" s="10"/>
      <c r="I25" s="10"/>
      <c r="J25" s="10"/>
      <c r="K25" s="10"/>
      <c r="L25" s="10"/>
      <c r="M25" s="10"/>
      <c r="N25" s="10"/>
      <c r="O25" s="10"/>
      <c r="P25" s="10"/>
      <c r="Q25" s="10"/>
      <c r="R25" s="10"/>
      <c r="S25" s="10"/>
      <c r="T25" s="10"/>
      <c r="U25" s="10"/>
      <c r="V25" s="10"/>
      <c r="W25" s="10"/>
      <c r="X25" s="10"/>
      <c r="Y25" s="10"/>
      <c r="Z25" s="10"/>
    </row>
    <row r="26" customFormat="false" ht="26.85" hidden="false" customHeight="true" outlineLevel="0" collapsed="false">
      <c r="A26" s="10"/>
      <c r="C26" s="10" t="s">
        <v>538</v>
      </c>
      <c r="D26" s="29" t="s">
        <v>563</v>
      </c>
      <c r="E26" s="29"/>
      <c r="F26" s="10"/>
      <c r="G26" s="10"/>
      <c r="H26" s="10"/>
      <c r="I26" s="10"/>
      <c r="J26" s="10"/>
      <c r="K26" s="10"/>
      <c r="L26" s="10"/>
      <c r="M26" s="10"/>
      <c r="N26" s="10"/>
      <c r="O26" s="10"/>
      <c r="P26" s="10"/>
      <c r="Q26" s="10"/>
      <c r="R26" s="10"/>
      <c r="S26" s="10"/>
      <c r="T26" s="10"/>
      <c r="U26" s="10"/>
      <c r="V26" s="10"/>
      <c r="W26" s="10"/>
      <c r="X26" s="10"/>
      <c r="Y26" s="10"/>
      <c r="Z26" s="10"/>
    </row>
    <row r="27" customFormat="false" ht="26.85" hidden="false" customHeight="true" outlineLevel="0" collapsed="false">
      <c r="A27" s="10"/>
      <c r="C27" s="10" t="s">
        <v>487</v>
      </c>
      <c r="D27" s="29" t="s">
        <v>564</v>
      </c>
      <c r="E27" s="29"/>
      <c r="F27" s="10"/>
      <c r="G27" s="10"/>
      <c r="H27" s="10"/>
      <c r="I27" s="10"/>
      <c r="J27" s="10"/>
      <c r="K27" s="10"/>
      <c r="L27" s="10"/>
      <c r="M27" s="10"/>
      <c r="N27" s="10"/>
      <c r="O27" s="10"/>
      <c r="P27" s="10"/>
      <c r="Q27" s="10"/>
      <c r="R27" s="10"/>
      <c r="S27" s="10"/>
      <c r="T27" s="10"/>
      <c r="U27" s="10"/>
      <c r="V27" s="10"/>
      <c r="W27" s="10"/>
      <c r="X27" s="10"/>
      <c r="Y27" s="10"/>
      <c r="Z27" s="10"/>
    </row>
    <row r="28" customFormat="false" ht="15.75" hidden="false" customHeight="false" outlineLevel="0" collapsed="false">
      <c r="A28" s="10"/>
      <c r="B28" s="6" t="s">
        <v>565</v>
      </c>
      <c r="C28" s="10"/>
      <c r="D28" s="10"/>
      <c r="E28" s="10"/>
      <c r="F28" s="10"/>
      <c r="G28" s="10"/>
      <c r="H28" s="10"/>
      <c r="I28" s="10"/>
      <c r="J28" s="10"/>
      <c r="K28" s="10"/>
      <c r="L28" s="10"/>
      <c r="M28" s="10"/>
      <c r="N28" s="10"/>
      <c r="O28" s="10"/>
      <c r="P28" s="10"/>
      <c r="Q28" s="10"/>
      <c r="R28" s="10"/>
      <c r="S28" s="10"/>
      <c r="T28" s="10"/>
      <c r="U28" s="10"/>
      <c r="V28" s="10"/>
      <c r="W28" s="10"/>
      <c r="X28" s="10"/>
      <c r="Y28" s="10"/>
      <c r="Z28" s="10"/>
    </row>
    <row r="29" customFormat="false" ht="15.75" hidden="false" customHeight="true" outlineLevel="0" collapsed="false">
      <c r="A29" s="10"/>
      <c r="B29" s="10"/>
      <c r="C29" s="10" t="s">
        <v>566</v>
      </c>
      <c r="D29" s="28" t="s">
        <v>567</v>
      </c>
      <c r="E29" s="28"/>
      <c r="F29" s="10"/>
      <c r="G29" s="10"/>
      <c r="H29" s="10"/>
      <c r="I29" s="10"/>
      <c r="J29" s="10"/>
      <c r="K29" s="10"/>
      <c r="L29" s="10"/>
      <c r="M29" s="10"/>
      <c r="N29" s="10"/>
      <c r="O29" s="10"/>
      <c r="P29" s="10"/>
      <c r="Q29" s="10"/>
      <c r="R29" s="10"/>
      <c r="S29" s="10"/>
      <c r="T29" s="10"/>
      <c r="U29" s="10"/>
      <c r="V29" s="10"/>
      <c r="W29" s="10"/>
      <c r="X29" s="10"/>
      <c r="Y29" s="10"/>
      <c r="Z29" s="10"/>
    </row>
    <row r="30" customFormat="false" ht="15.75" hidden="false" customHeight="true" outlineLevel="0" collapsed="false">
      <c r="A30" s="10"/>
      <c r="B30" s="10"/>
      <c r="C30" s="10" t="s">
        <v>568</v>
      </c>
      <c r="D30" s="28" t="s">
        <v>569</v>
      </c>
      <c r="E30" s="28"/>
      <c r="F30" s="10"/>
      <c r="G30" s="10"/>
      <c r="H30" s="10"/>
      <c r="I30" s="10"/>
      <c r="J30" s="10"/>
      <c r="K30" s="10"/>
      <c r="L30" s="10"/>
      <c r="M30" s="10"/>
      <c r="N30" s="10"/>
      <c r="O30" s="10"/>
      <c r="P30" s="10"/>
      <c r="Q30" s="10"/>
      <c r="R30" s="10"/>
      <c r="S30" s="10"/>
      <c r="T30" s="10"/>
      <c r="U30" s="10"/>
      <c r="V30" s="10"/>
      <c r="W30" s="10"/>
      <c r="X30" s="10"/>
      <c r="Y30" s="10"/>
      <c r="Z30" s="10"/>
    </row>
    <row r="31" customFormat="false" ht="280.55" hidden="false" customHeight="true" outlineLevel="0" collapsed="false">
      <c r="A31" s="10"/>
      <c r="B31" s="10"/>
      <c r="C31" s="10" t="s">
        <v>538</v>
      </c>
      <c r="D31" s="29" t="s">
        <v>570</v>
      </c>
      <c r="E31" s="29"/>
      <c r="F31" s="10"/>
      <c r="G31" s="10"/>
      <c r="H31" s="10"/>
      <c r="I31" s="10"/>
      <c r="J31" s="10"/>
      <c r="K31" s="10"/>
      <c r="L31" s="10"/>
      <c r="M31" s="10"/>
      <c r="N31" s="10"/>
      <c r="O31" s="10"/>
      <c r="P31" s="10"/>
      <c r="Q31" s="10"/>
      <c r="R31" s="10"/>
      <c r="S31" s="10"/>
      <c r="T31" s="10"/>
      <c r="U31" s="10"/>
      <c r="V31" s="10"/>
      <c r="W31" s="10"/>
      <c r="X31" s="10"/>
      <c r="Y31" s="10"/>
      <c r="Z31" s="10"/>
    </row>
    <row r="32" customFormat="false" ht="39.55" hidden="false" customHeight="true" outlineLevel="0" collapsed="false">
      <c r="A32" s="10"/>
      <c r="B32" s="10"/>
      <c r="C32" s="10" t="s">
        <v>487</v>
      </c>
      <c r="D32" s="29" t="s">
        <v>571</v>
      </c>
      <c r="E32" s="29"/>
      <c r="F32" s="10"/>
      <c r="G32" s="10"/>
      <c r="H32" s="10"/>
      <c r="I32" s="10"/>
      <c r="J32" s="10"/>
      <c r="K32" s="10"/>
      <c r="L32" s="10"/>
      <c r="M32" s="10"/>
      <c r="N32" s="10"/>
      <c r="O32" s="10"/>
      <c r="P32" s="10"/>
      <c r="Q32" s="10"/>
      <c r="R32" s="10"/>
      <c r="S32" s="10"/>
      <c r="T32" s="10"/>
      <c r="U32" s="10"/>
      <c r="V32" s="10"/>
      <c r="W32" s="10"/>
      <c r="X32" s="10"/>
      <c r="Y32" s="10"/>
      <c r="Z32" s="10"/>
    </row>
    <row r="33" customFormat="false" ht="15.75" hidden="false" customHeight="false" outlineLevel="0" collapsed="false">
      <c r="A33" s="10"/>
      <c r="B33" s="10"/>
      <c r="C33" s="10"/>
      <c r="D33" s="30" t="s">
        <v>572</v>
      </c>
      <c r="E33" s="10"/>
      <c r="F33" s="10"/>
      <c r="G33" s="10"/>
      <c r="H33" s="10"/>
      <c r="I33" s="10"/>
      <c r="J33" s="10"/>
      <c r="K33" s="10"/>
      <c r="L33" s="10"/>
      <c r="M33" s="10"/>
      <c r="N33" s="10"/>
      <c r="O33" s="10"/>
      <c r="P33" s="10"/>
      <c r="Q33" s="10"/>
      <c r="R33" s="10"/>
      <c r="S33" s="10"/>
      <c r="T33" s="10"/>
      <c r="U33" s="10"/>
      <c r="V33" s="10"/>
      <c r="W33" s="10"/>
      <c r="X33" s="10"/>
      <c r="Y33" s="10"/>
      <c r="Z33" s="10"/>
    </row>
    <row r="34" customFormat="false" ht="26.85" hidden="false" customHeight="false" outlineLevel="0" collapsed="false">
      <c r="A34" s="10"/>
      <c r="B34" s="10"/>
      <c r="C34" s="10"/>
      <c r="D34" s="10" t="s">
        <v>573</v>
      </c>
      <c r="E34" s="10"/>
      <c r="F34" s="10"/>
      <c r="G34" s="10"/>
      <c r="H34" s="10"/>
      <c r="I34" s="10"/>
      <c r="J34" s="10"/>
      <c r="K34" s="10"/>
      <c r="L34" s="10"/>
      <c r="M34" s="10"/>
      <c r="N34" s="10"/>
      <c r="O34" s="10"/>
      <c r="P34" s="10"/>
      <c r="Q34" s="10"/>
      <c r="R34" s="10"/>
      <c r="S34" s="10"/>
      <c r="T34" s="10"/>
      <c r="U34" s="10"/>
      <c r="V34" s="10"/>
      <c r="W34" s="10"/>
      <c r="X34" s="10"/>
      <c r="Y34" s="10"/>
      <c r="Z34" s="10"/>
    </row>
    <row r="35" customFormat="false" ht="90.25" hidden="false" customHeight="true" outlineLevel="0" collapsed="false">
      <c r="A35" s="10"/>
      <c r="B35" s="10"/>
      <c r="C35" s="10"/>
      <c r="D35" s="10"/>
      <c r="E35" s="29" t="s">
        <v>574</v>
      </c>
      <c r="F35" s="29"/>
      <c r="G35" s="10"/>
      <c r="H35" s="10"/>
      <c r="I35" s="10"/>
      <c r="J35" s="10"/>
      <c r="K35" s="10"/>
      <c r="L35" s="10"/>
      <c r="M35" s="10"/>
      <c r="N35" s="10"/>
      <c r="O35" s="10"/>
      <c r="P35" s="10"/>
      <c r="Q35" s="10"/>
      <c r="R35" s="10"/>
      <c r="S35" s="10"/>
      <c r="T35" s="10"/>
      <c r="U35" s="10"/>
      <c r="V35" s="10"/>
      <c r="W35" s="10"/>
      <c r="X35" s="10"/>
      <c r="Y35" s="10"/>
      <c r="Z35" s="10"/>
    </row>
    <row r="36" customFormat="false" ht="15.75" hidden="false" customHeight="false" outlineLevel="0" collapsed="false">
      <c r="A36" s="10"/>
      <c r="B36" s="10"/>
      <c r="C36" s="10"/>
      <c r="D36" s="10"/>
      <c r="E36" s="31" t="s">
        <v>575</v>
      </c>
      <c r="F36" s="31" t="s">
        <v>576</v>
      </c>
      <c r="G36" s="31" t="s">
        <v>577</v>
      </c>
      <c r="H36" s="32"/>
      <c r="I36" s="10"/>
      <c r="J36" s="10"/>
      <c r="K36" s="10"/>
      <c r="L36" s="10"/>
      <c r="M36" s="10"/>
      <c r="N36" s="10"/>
      <c r="O36" s="10"/>
      <c r="P36" s="10"/>
      <c r="Q36" s="10"/>
      <c r="R36" s="10"/>
      <c r="S36" s="10"/>
      <c r="T36" s="10"/>
      <c r="U36" s="10"/>
      <c r="V36" s="10"/>
      <c r="W36" s="10"/>
      <c r="X36" s="10"/>
      <c r="Y36" s="10"/>
      <c r="Z36" s="10"/>
    </row>
    <row r="37" customFormat="false" ht="15.75" hidden="false" customHeight="false" outlineLevel="0" collapsed="false">
      <c r="A37" s="10"/>
      <c r="B37" s="10"/>
      <c r="C37" s="10"/>
      <c r="D37" s="10"/>
      <c r="E37" s="33" t="s">
        <v>578</v>
      </c>
      <c r="F37" s="33" t="s">
        <v>579</v>
      </c>
      <c r="G37" s="33" t="s">
        <v>580</v>
      </c>
      <c r="H37" s="32"/>
      <c r="I37" s="10"/>
      <c r="J37" s="10"/>
      <c r="K37" s="10"/>
      <c r="L37" s="10"/>
      <c r="M37" s="10"/>
      <c r="N37" s="10"/>
      <c r="O37" s="10"/>
      <c r="P37" s="10"/>
      <c r="Q37" s="10"/>
      <c r="R37" s="10"/>
      <c r="S37" s="10"/>
      <c r="T37" s="10"/>
      <c r="U37" s="10"/>
      <c r="V37" s="10"/>
      <c r="W37" s="10"/>
      <c r="X37" s="10"/>
      <c r="Y37" s="10"/>
      <c r="Z37" s="10"/>
    </row>
    <row r="38" customFormat="false" ht="15.75" hidden="false" customHeight="false" outlineLevel="0" collapsed="false">
      <c r="A38" s="10"/>
      <c r="B38" s="10"/>
      <c r="C38" s="10"/>
      <c r="D38" s="10"/>
      <c r="E38" s="33" t="s">
        <v>581</v>
      </c>
      <c r="F38" s="33" t="s">
        <v>582</v>
      </c>
      <c r="G38" s="33" t="s">
        <v>583</v>
      </c>
      <c r="H38" s="32"/>
      <c r="I38" s="10"/>
      <c r="J38" s="10"/>
      <c r="K38" s="10"/>
      <c r="L38" s="10"/>
      <c r="M38" s="10"/>
      <c r="N38" s="10"/>
      <c r="O38" s="10"/>
      <c r="P38" s="10"/>
      <c r="Q38" s="10"/>
      <c r="R38" s="10"/>
      <c r="S38" s="10"/>
      <c r="T38" s="10"/>
      <c r="U38" s="10"/>
      <c r="V38" s="10"/>
      <c r="W38" s="10"/>
      <c r="X38" s="10"/>
      <c r="Y38" s="10"/>
      <c r="Z38" s="10"/>
    </row>
    <row r="39" customFormat="false" ht="15.75" hidden="false" customHeight="false" outlineLevel="0" collapsed="false">
      <c r="A39" s="10"/>
      <c r="B39" s="10"/>
      <c r="C39" s="10"/>
      <c r="D39" s="10"/>
      <c r="E39" s="33" t="s">
        <v>584</v>
      </c>
      <c r="F39" s="33" t="s">
        <v>585</v>
      </c>
      <c r="G39" s="33" t="s">
        <v>586</v>
      </c>
      <c r="H39" s="32"/>
      <c r="I39" s="10"/>
      <c r="J39" s="10"/>
      <c r="K39" s="10"/>
      <c r="L39" s="10"/>
      <c r="M39" s="10"/>
      <c r="N39" s="10"/>
      <c r="O39" s="10"/>
      <c r="P39" s="10"/>
      <c r="Q39" s="10"/>
      <c r="R39" s="10"/>
      <c r="S39" s="10"/>
      <c r="T39" s="10"/>
      <c r="U39" s="10"/>
      <c r="V39" s="10"/>
      <c r="W39" s="10"/>
      <c r="X39" s="10"/>
      <c r="Y39" s="10"/>
      <c r="Z39" s="10"/>
    </row>
    <row r="40" customFormat="false" ht="15.75" hidden="false" customHeight="false" outlineLevel="0" collapsed="false">
      <c r="A40" s="10"/>
      <c r="B40" s="10"/>
      <c r="C40" s="10"/>
      <c r="D40" s="10"/>
      <c r="E40" s="33" t="s">
        <v>587</v>
      </c>
      <c r="F40" s="33" t="s">
        <v>588</v>
      </c>
      <c r="G40" s="33" t="s">
        <v>589</v>
      </c>
      <c r="H40" s="32"/>
      <c r="I40" s="10"/>
      <c r="J40" s="10"/>
      <c r="K40" s="10"/>
      <c r="L40" s="10"/>
      <c r="M40" s="10"/>
      <c r="N40" s="10"/>
      <c r="O40" s="10"/>
      <c r="P40" s="10"/>
      <c r="Q40" s="10"/>
      <c r="R40" s="10"/>
      <c r="S40" s="10"/>
      <c r="T40" s="10"/>
      <c r="U40" s="10"/>
      <c r="V40" s="10"/>
      <c r="W40" s="10"/>
      <c r="X40" s="10"/>
      <c r="Y40" s="10"/>
      <c r="Z40" s="10"/>
    </row>
    <row r="41" customFormat="false" ht="39.55" hidden="false" customHeight="true" outlineLevel="0" collapsed="false">
      <c r="A41" s="10"/>
      <c r="B41" s="10"/>
      <c r="C41" s="10"/>
      <c r="D41" s="10"/>
      <c r="E41" s="34" t="s">
        <v>590</v>
      </c>
      <c r="F41" s="34"/>
      <c r="G41" s="35"/>
      <c r="H41" s="32"/>
      <c r="I41" s="10"/>
      <c r="J41" s="10"/>
      <c r="K41" s="10"/>
      <c r="L41" s="10"/>
      <c r="M41" s="10"/>
      <c r="N41" s="10"/>
      <c r="O41" s="10"/>
      <c r="P41" s="10"/>
      <c r="Q41" s="10"/>
      <c r="R41" s="10"/>
      <c r="S41" s="10"/>
      <c r="T41" s="10"/>
      <c r="U41" s="10"/>
      <c r="V41" s="10"/>
      <c r="W41" s="10"/>
      <c r="X41" s="10"/>
      <c r="Y41" s="10"/>
      <c r="Z41" s="10"/>
    </row>
    <row r="42" customFormat="false" ht="26.85" hidden="false" customHeight="false" outlineLevel="0" collapsed="false">
      <c r="A42" s="10"/>
      <c r="B42" s="10"/>
      <c r="C42" s="10"/>
      <c r="D42" s="10" t="s">
        <v>591</v>
      </c>
      <c r="E42" s="35"/>
      <c r="F42" s="35"/>
      <c r="G42" s="35"/>
      <c r="H42" s="32"/>
      <c r="I42" s="10"/>
      <c r="J42" s="10"/>
      <c r="K42" s="10"/>
      <c r="L42" s="10"/>
      <c r="M42" s="10"/>
      <c r="N42" s="10"/>
      <c r="O42" s="10"/>
      <c r="P42" s="10"/>
      <c r="Q42" s="10"/>
      <c r="R42" s="10"/>
      <c r="S42" s="10"/>
      <c r="T42" s="10"/>
      <c r="U42" s="10"/>
      <c r="V42" s="10"/>
      <c r="W42" s="10"/>
      <c r="X42" s="10"/>
      <c r="Y42" s="10"/>
      <c r="Z42" s="10"/>
    </row>
    <row r="43" customFormat="false" ht="153.7" hidden="false" customHeight="true" outlineLevel="0" collapsed="false">
      <c r="A43" s="10"/>
      <c r="B43" s="10"/>
      <c r="C43" s="10"/>
      <c r="D43" s="10"/>
      <c r="E43" s="34" t="s">
        <v>592</v>
      </c>
      <c r="F43" s="34"/>
      <c r="G43" s="35"/>
      <c r="H43" s="32"/>
      <c r="I43" s="10"/>
      <c r="J43" s="10"/>
      <c r="K43" s="10"/>
      <c r="L43" s="10"/>
      <c r="M43" s="10"/>
      <c r="N43" s="10"/>
      <c r="O43" s="10"/>
      <c r="P43" s="10"/>
      <c r="Q43" s="10"/>
      <c r="R43" s="10"/>
      <c r="S43" s="10"/>
      <c r="T43" s="10"/>
      <c r="U43" s="10"/>
      <c r="V43" s="10"/>
      <c r="W43" s="10"/>
      <c r="X43" s="10"/>
      <c r="Y43" s="10"/>
      <c r="Z43" s="10"/>
    </row>
    <row r="44" customFormat="false" ht="15.75" hidden="false" customHeight="false" outlineLevel="0" collapsed="false">
      <c r="A44" s="10"/>
      <c r="B44" s="10"/>
      <c r="C44" s="10"/>
      <c r="D44" s="10" t="s">
        <v>593</v>
      </c>
      <c r="E44" s="35"/>
      <c r="F44" s="35"/>
      <c r="G44" s="35"/>
      <c r="H44" s="32"/>
      <c r="I44" s="10"/>
      <c r="J44" s="10"/>
      <c r="K44" s="10"/>
      <c r="L44" s="10"/>
      <c r="M44" s="10"/>
      <c r="N44" s="10"/>
      <c r="O44" s="10"/>
      <c r="P44" s="10"/>
      <c r="Q44" s="10"/>
      <c r="R44" s="10"/>
      <c r="S44" s="10"/>
      <c r="T44" s="10"/>
      <c r="U44" s="10"/>
      <c r="V44" s="10"/>
      <c r="W44" s="10"/>
      <c r="X44" s="10"/>
      <c r="Y44" s="10"/>
      <c r="Z44" s="10"/>
    </row>
    <row r="45" customFormat="false" ht="115.65" hidden="false" customHeight="true" outlineLevel="0" collapsed="false">
      <c r="A45" s="10"/>
      <c r="B45" s="10"/>
      <c r="C45" s="10"/>
      <c r="D45" s="10"/>
      <c r="E45" s="34" t="s">
        <v>594</v>
      </c>
      <c r="F45" s="34"/>
      <c r="G45" s="35"/>
      <c r="H45" s="32"/>
      <c r="I45" s="10"/>
      <c r="J45" s="10"/>
      <c r="K45" s="10"/>
      <c r="L45" s="10"/>
      <c r="M45" s="10"/>
      <c r="N45" s="10"/>
      <c r="O45" s="10"/>
      <c r="P45" s="10"/>
      <c r="Q45" s="10"/>
      <c r="R45" s="10"/>
      <c r="S45" s="10"/>
      <c r="T45" s="10"/>
      <c r="U45" s="10"/>
      <c r="V45" s="10"/>
      <c r="W45" s="10"/>
      <c r="X45" s="10"/>
      <c r="Y45" s="10"/>
      <c r="Z45" s="10"/>
    </row>
    <row r="46" customFormat="false" ht="26.85" hidden="false" customHeight="false" outlineLevel="0" collapsed="false">
      <c r="A46" s="10"/>
      <c r="B46" s="10"/>
      <c r="C46" s="10"/>
      <c r="D46" s="10" t="s">
        <v>595</v>
      </c>
      <c r="E46" s="36"/>
      <c r="F46" s="36"/>
      <c r="G46" s="35"/>
      <c r="H46" s="32"/>
      <c r="I46" s="10"/>
      <c r="J46" s="10"/>
      <c r="K46" s="10"/>
      <c r="L46" s="10"/>
      <c r="M46" s="10"/>
      <c r="N46" s="10"/>
      <c r="O46" s="10"/>
      <c r="P46" s="10"/>
      <c r="Q46" s="10"/>
      <c r="R46" s="10"/>
      <c r="S46" s="10"/>
      <c r="T46" s="10"/>
      <c r="U46" s="10"/>
      <c r="V46" s="10"/>
      <c r="W46" s="10"/>
      <c r="X46" s="10"/>
      <c r="Y46" s="10"/>
      <c r="Z46" s="10"/>
    </row>
    <row r="47" customFormat="false" ht="191.75" hidden="false" customHeight="true" outlineLevel="0" collapsed="false">
      <c r="A47" s="10"/>
      <c r="B47" s="10"/>
      <c r="C47" s="10"/>
      <c r="D47" s="10"/>
      <c r="E47" s="34" t="s">
        <v>596</v>
      </c>
      <c r="F47" s="34"/>
      <c r="G47" s="35"/>
      <c r="H47" s="32"/>
      <c r="I47" s="10"/>
      <c r="J47" s="10"/>
      <c r="K47" s="10"/>
      <c r="L47" s="10"/>
      <c r="M47" s="10"/>
      <c r="N47" s="10"/>
      <c r="O47" s="10"/>
      <c r="P47" s="10"/>
      <c r="Q47" s="10"/>
      <c r="R47" s="10"/>
      <c r="S47" s="10"/>
      <c r="T47" s="10"/>
      <c r="U47" s="10"/>
      <c r="V47" s="10"/>
      <c r="W47" s="10"/>
      <c r="X47" s="10"/>
      <c r="Y47" s="10"/>
      <c r="Z47" s="10"/>
    </row>
    <row r="48" customFormat="false" ht="26.85" hidden="false" customHeight="false" outlineLevel="0" collapsed="false">
      <c r="A48" s="10"/>
      <c r="B48" s="10"/>
      <c r="C48" s="10"/>
      <c r="D48" s="10" t="s">
        <v>597</v>
      </c>
      <c r="E48" s="36"/>
      <c r="F48" s="36"/>
      <c r="G48" s="35"/>
      <c r="H48" s="32"/>
      <c r="I48" s="10"/>
      <c r="J48" s="10"/>
      <c r="K48" s="10"/>
      <c r="L48" s="10"/>
      <c r="M48" s="10"/>
      <c r="N48" s="10"/>
      <c r="O48" s="10"/>
      <c r="P48" s="10"/>
      <c r="Q48" s="10"/>
      <c r="R48" s="10"/>
      <c r="S48" s="10"/>
      <c r="T48" s="10"/>
      <c r="U48" s="10"/>
      <c r="V48" s="10"/>
      <c r="W48" s="10"/>
      <c r="X48" s="10"/>
      <c r="Y48" s="10"/>
      <c r="Z48" s="10"/>
    </row>
    <row r="49" customFormat="false" ht="128.35" hidden="false" customHeight="true" outlineLevel="0" collapsed="false">
      <c r="A49" s="10"/>
      <c r="B49" s="10"/>
      <c r="C49" s="10"/>
      <c r="D49" s="10"/>
      <c r="E49" s="34" t="s">
        <v>598</v>
      </c>
      <c r="F49" s="34"/>
      <c r="G49" s="35"/>
      <c r="H49" s="32"/>
      <c r="I49" s="10"/>
      <c r="J49" s="10"/>
      <c r="K49" s="10"/>
      <c r="L49" s="10"/>
      <c r="M49" s="10"/>
      <c r="N49" s="10"/>
      <c r="O49" s="10"/>
      <c r="P49" s="10"/>
      <c r="Q49" s="10"/>
      <c r="R49" s="10"/>
      <c r="S49" s="10"/>
      <c r="T49" s="10"/>
      <c r="U49" s="10"/>
      <c r="V49" s="10"/>
      <c r="W49" s="10"/>
      <c r="X49" s="10"/>
      <c r="Y49" s="10"/>
      <c r="Z49" s="10"/>
    </row>
    <row r="50" customFormat="false" ht="15.75" hidden="false" customHeight="false" outlineLevel="0" collapsed="false">
      <c r="A50" s="10"/>
      <c r="B50" s="10"/>
      <c r="C50" s="10"/>
      <c r="D50" s="10"/>
      <c r="E50" s="31" t="s">
        <v>575</v>
      </c>
      <c r="F50" s="31" t="s">
        <v>599</v>
      </c>
      <c r="G50" s="35"/>
      <c r="H50" s="32"/>
      <c r="I50" s="10"/>
      <c r="J50" s="10"/>
      <c r="K50" s="10"/>
      <c r="L50" s="10"/>
      <c r="M50" s="10"/>
      <c r="N50" s="10"/>
      <c r="O50" s="10"/>
      <c r="P50" s="10"/>
      <c r="Q50" s="10"/>
      <c r="R50" s="10"/>
      <c r="S50" s="10"/>
      <c r="T50" s="10"/>
      <c r="U50" s="10"/>
      <c r="V50" s="10"/>
      <c r="W50" s="10"/>
      <c r="X50" s="10"/>
      <c r="Y50" s="10"/>
      <c r="Z50" s="10"/>
    </row>
    <row r="51" customFormat="false" ht="15.75" hidden="false" customHeight="false" outlineLevel="0" collapsed="false">
      <c r="A51" s="10"/>
      <c r="B51" s="10"/>
      <c r="C51" s="10"/>
      <c r="D51" s="10"/>
      <c r="E51" s="33" t="s">
        <v>600</v>
      </c>
      <c r="F51" s="33" t="s">
        <v>601</v>
      </c>
      <c r="G51" s="35"/>
      <c r="H51" s="32"/>
      <c r="I51" s="10"/>
      <c r="J51" s="10"/>
      <c r="K51" s="10"/>
      <c r="L51" s="10"/>
      <c r="M51" s="10"/>
      <c r="N51" s="10"/>
      <c r="O51" s="10"/>
      <c r="P51" s="10"/>
      <c r="Q51" s="10"/>
      <c r="R51" s="10"/>
      <c r="S51" s="10"/>
      <c r="T51" s="10"/>
      <c r="U51" s="10"/>
      <c r="V51" s="10"/>
      <c r="W51" s="10"/>
      <c r="X51" s="10"/>
      <c r="Y51" s="10"/>
      <c r="Z51" s="10"/>
    </row>
    <row r="52" customFormat="false" ht="15.75" hidden="false" customHeight="false" outlineLevel="0" collapsed="false">
      <c r="A52" s="10"/>
      <c r="B52" s="10"/>
      <c r="C52" s="10"/>
      <c r="D52" s="10"/>
      <c r="E52" s="33" t="s">
        <v>602</v>
      </c>
      <c r="F52" s="33" t="s">
        <v>603</v>
      </c>
      <c r="G52" s="35"/>
      <c r="H52" s="32"/>
      <c r="I52" s="10"/>
      <c r="J52" s="10"/>
      <c r="K52" s="10"/>
      <c r="L52" s="10"/>
      <c r="M52" s="10"/>
      <c r="N52" s="10"/>
      <c r="O52" s="10"/>
      <c r="P52" s="10"/>
      <c r="Q52" s="10"/>
      <c r="R52" s="10"/>
      <c r="S52" s="10"/>
      <c r="T52" s="10"/>
      <c r="U52" s="10"/>
      <c r="V52" s="10"/>
      <c r="W52" s="10"/>
      <c r="X52" s="10"/>
      <c r="Y52" s="10"/>
      <c r="Z52" s="10"/>
    </row>
    <row r="53" customFormat="false" ht="15.75" hidden="false" customHeight="false" outlineLevel="0" collapsed="false">
      <c r="A53" s="10"/>
      <c r="B53" s="10"/>
      <c r="C53" s="10"/>
      <c r="D53" s="10"/>
      <c r="E53" s="33" t="s">
        <v>604</v>
      </c>
      <c r="F53" s="33" t="s">
        <v>601</v>
      </c>
      <c r="G53" s="35"/>
      <c r="H53" s="32"/>
      <c r="I53" s="10"/>
      <c r="J53" s="10"/>
      <c r="K53" s="10"/>
      <c r="L53" s="10"/>
      <c r="M53" s="10"/>
      <c r="N53" s="10"/>
      <c r="O53" s="10"/>
      <c r="P53" s="10"/>
      <c r="Q53" s="10"/>
      <c r="R53" s="10"/>
      <c r="S53" s="10"/>
      <c r="T53" s="10"/>
      <c r="U53" s="10"/>
      <c r="V53" s="10"/>
      <c r="W53" s="10"/>
      <c r="X53" s="10"/>
      <c r="Y53" s="10"/>
      <c r="Z53" s="10"/>
    </row>
    <row r="54" customFormat="false" ht="39.55" hidden="false" customHeight="true" outlineLevel="0" collapsed="false">
      <c r="A54" s="10"/>
      <c r="B54" s="10"/>
      <c r="C54" s="10"/>
      <c r="D54" s="10"/>
      <c r="E54" s="34" t="s">
        <v>605</v>
      </c>
      <c r="F54" s="34"/>
      <c r="G54" s="35"/>
      <c r="H54" s="32"/>
      <c r="I54" s="10"/>
      <c r="J54" s="10"/>
      <c r="K54" s="10"/>
      <c r="L54" s="10"/>
      <c r="M54" s="10"/>
      <c r="N54" s="10"/>
      <c r="O54" s="10"/>
      <c r="P54" s="10"/>
      <c r="Q54" s="10"/>
      <c r="R54" s="10"/>
      <c r="S54" s="10"/>
      <c r="T54" s="10"/>
      <c r="U54" s="10"/>
      <c r="V54" s="10"/>
      <c r="W54" s="10"/>
      <c r="X54" s="10"/>
      <c r="Y54" s="10"/>
      <c r="Z54" s="10"/>
    </row>
    <row r="55" customFormat="false" ht="15.75" hidden="false" customHeight="false" outlineLevel="0" collapsed="false">
      <c r="A55" s="10"/>
      <c r="B55" s="10"/>
      <c r="C55" s="10"/>
      <c r="D55" s="10" t="s">
        <v>606</v>
      </c>
      <c r="E55" s="36"/>
      <c r="F55" s="36"/>
      <c r="G55" s="35"/>
      <c r="H55" s="32"/>
      <c r="I55" s="10"/>
      <c r="J55" s="10"/>
      <c r="K55" s="10"/>
      <c r="L55" s="10"/>
      <c r="M55" s="10"/>
      <c r="N55" s="10"/>
      <c r="O55" s="10"/>
      <c r="P55" s="10"/>
      <c r="Q55" s="10"/>
      <c r="R55" s="10"/>
      <c r="S55" s="10"/>
      <c r="T55" s="10"/>
      <c r="U55" s="10"/>
      <c r="V55" s="10"/>
      <c r="W55" s="10"/>
      <c r="X55" s="10"/>
      <c r="Y55" s="10"/>
      <c r="Z55" s="10"/>
    </row>
    <row r="56" customFormat="false" ht="166.4" hidden="false" customHeight="true" outlineLevel="0" collapsed="false">
      <c r="A56" s="10"/>
      <c r="B56" s="10"/>
      <c r="C56" s="10"/>
      <c r="D56" s="10"/>
      <c r="E56" s="34" t="s">
        <v>607</v>
      </c>
      <c r="F56" s="34"/>
      <c r="G56" s="35"/>
      <c r="H56" s="32"/>
      <c r="I56" s="10"/>
      <c r="J56" s="10"/>
      <c r="K56" s="10"/>
      <c r="L56" s="10"/>
      <c r="M56" s="10"/>
      <c r="N56" s="10"/>
      <c r="O56" s="10"/>
      <c r="P56" s="10"/>
      <c r="Q56" s="10"/>
      <c r="R56" s="10"/>
      <c r="S56" s="10"/>
      <c r="T56" s="10"/>
      <c r="U56" s="10"/>
      <c r="V56" s="10"/>
      <c r="W56" s="10"/>
      <c r="X56" s="10"/>
      <c r="Y56" s="10"/>
      <c r="Z56" s="10"/>
    </row>
    <row r="57" customFormat="false" ht="15.75" hidden="false" customHeight="false" outlineLevel="0" collapsed="false">
      <c r="A57" s="10"/>
      <c r="B57" s="10"/>
      <c r="C57" s="10"/>
      <c r="D57" s="10"/>
      <c r="E57" s="36"/>
      <c r="F57" s="36"/>
      <c r="G57" s="35"/>
      <c r="H57" s="32"/>
      <c r="I57" s="10"/>
      <c r="J57" s="10"/>
      <c r="K57" s="10"/>
      <c r="L57" s="10"/>
      <c r="M57" s="10"/>
      <c r="N57" s="10"/>
      <c r="O57" s="10"/>
      <c r="P57" s="10"/>
      <c r="Q57" s="10"/>
      <c r="R57" s="10"/>
      <c r="S57" s="10"/>
      <c r="T57" s="10"/>
      <c r="U57" s="10"/>
      <c r="V57" s="10"/>
      <c r="W57" s="10"/>
      <c r="X57" s="10"/>
      <c r="Y57" s="10"/>
      <c r="Z57" s="10"/>
    </row>
    <row r="58" customFormat="false" ht="15.75" hidden="false" customHeight="false" outlineLevel="0" collapsed="false">
      <c r="A58" s="10"/>
      <c r="B58" s="6" t="s">
        <v>608</v>
      </c>
      <c r="C58" s="10"/>
      <c r="D58" s="10"/>
      <c r="E58" s="10"/>
      <c r="F58" s="10"/>
      <c r="G58" s="10"/>
      <c r="H58" s="10"/>
      <c r="I58" s="10"/>
      <c r="J58" s="10"/>
      <c r="K58" s="10"/>
      <c r="L58" s="10"/>
      <c r="M58" s="10"/>
      <c r="N58" s="10"/>
      <c r="O58" s="10"/>
      <c r="P58" s="10"/>
      <c r="Q58" s="10"/>
      <c r="R58" s="10"/>
      <c r="S58" s="10"/>
      <c r="T58" s="10"/>
      <c r="U58" s="10"/>
      <c r="V58" s="10"/>
      <c r="W58" s="10"/>
      <c r="X58" s="10"/>
      <c r="Y58" s="10"/>
      <c r="Z58" s="10"/>
    </row>
    <row r="59" customFormat="false" ht="15.75" hidden="false" customHeight="false" outlineLevel="0" collapsed="false">
      <c r="A59" s="10"/>
      <c r="C59" s="6" t="s">
        <v>609</v>
      </c>
      <c r="D59" s="10"/>
      <c r="E59" s="10"/>
      <c r="F59" s="10"/>
      <c r="G59" s="10"/>
      <c r="H59" s="10"/>
      <c r="I59" s="10"/>
      <c r="J59" s="10"/>
      <c r="K59" s="10"/>
      <c r="L59" s="10"/>
      <c r="M59" s="10"/>
      <c r="N59" s="10"/>
      <c r="O59" s="10"/>
      <c r="P59" s="10"/>
      <c r="Q59" s="10"/>
      <c r="R59" s="10"/>
      <c r="S59" s="10"/>
      <c r="T59" s="10"/>
      <c r="U59" s="10"/>
      <c r="V59" s="10"/>
      <c r="W59" s="10"/>
      <c r="X59" s="10"/>
      <c r="Y59" s="10"/>
      <c r="Z59" s="10"/>
    </row>
    <row r="60" customFormat="false" ht="15.75" hidden="false" customHeight="true" outlineLevel="0" collapsed="false">
      <c r="A60" s="10"/>
      <c r="B60" s="10"/>
      <c r="C60" s="10" t="s">
        <v>566</v>
      </c>
      <c r="D60" s="28" t="s">
        <v>610</v>
      </c>
      <c r="E60" s="28"/>
      <c r="F60" s="10"/>
      <c r="G60" s="10"/>
      <c r="H60" s="10"/>
      <c r="I60" s="10"/>
      <c r="J60" s="10"/>
      <c r="K60" s="10"/>
      <c r="L60" s="10"/>
      <c r="M60" s="10"/>
      <c r="N60" s="10"/>
      <c r="O60" s="10"/>
      <c r="P60" s="10"/>
      <c r="Q60" s="10"/>
      <c r="R60" s="10"/>
      <c r="S60" s="10"/>
      <c r="T60" s="10"/>
      <c r="U60" s="10"/>
      <c r="V60" s="10"/>
      <c r="W60" s="10"/>
      <c r="X60" s="10"/>
      <c r="Y60" s="10"/>
      <c r="Z60" s="10"/>
    </row>
    <row r="61" customFormat="false" ht="15.75" hidden="false" customHeight="true" outlineLevel="0" collapsed="false">
      <c r="A61" s="10"/>
      <c r="B61" s="10"/>
      <c r="C61" s="10" t="s">
        <v>568</v>
      </c>
      <c r="D61" s="28" t="s">
        <v>611</v>
      </c>
      <c r="E61" s="28"/>
      <c r="F61" s="10"/>
      <c r="G61" s="10"/>
      <c r="H61" s="10"/>
      <c r="I61" s="10"/>
      <c r="J61" s="10"/>
      <c r="K61" s="10"/>
      <c r="L61" s="10"/>
      <c r="M61" s="10"/>
      <c r="N61" s="10"/>
      <c r="O61" s="10"/>
      <c r="P61" s="10"/>
      <c r="Q61" s="10"/>
      <c r="R61" s="10"/>
      <c r="S61" s="10"/>
      <c r="T61" s="10"/>
      <c r="U61" s="10"/>
      <c r="V61" s="10"/>
      <c r="W61" s="10"/>
      <c r="X61" s="10"/>
      <c r="Y61" s="10"/>
      <c r="Z61" s="10"/>
    </row>
    <row r="62" customFormat="false" ht="90.25" hidden="false" customHeight="true" outlineLevel="0" collapsed="false">
      <c r="A62" s="10"/>
      <c r="B62" s="10"/>
      <c r="C62" s="10" t="s">
        <v>538</v>
      </c>
      <c r="D62" s="29" t="s">
        <v>612</v>
      </c>
      <c r="E62" s="29"/>
      <c r="F62" s="10"/>
      <c r="G62" s="10"/>
      <c r="H62" s="10"/>
      <c r="I62" s="10"/>
      <c r="J62" s="10"/>
      <c r="K62" s="10"/>
      <c r="L62" s="10"/>
      <c r="M62" s="10"/>
      <c r="N62" s="10"/>
      <c r="O62" s="10"/>
      <c r="P62" s="10"/>
      <c r="Q62" s="10"/>
      <c r="R62" s="10"/>
      <c r="S62" s="10"/>
      <c r="T62" s="10"/>
      <c r="U62" s="10"/>
      <c r="V62" s="10"/>
      <c r="W62" s="10"/>
      <c r="X62" s="10"/>
      <c r="Y62" s="10"/>
      <c r="Z62" s="10"/>
    </row>
    <row r="63" customFormat="false" ht="191.75" hidden="false" customHeight="true" outlineLevel="0" collapsed="false">
      <c r="A63" s="10"/>
      <c r="B63" s="10"/>
      <c r="C63" s="29" t="s">
        <v>487</v>
      </c>
      <c r="D63" s="29" t="s">
        <v>613</v>
      </c>
      <c r="E63" s="29"/>
      <c r="F63" s="10"/>
      <c r="G63" s="10"/>
      <c r="H63" s="10"/>
      <c r="I63" s="10"/>
      <c r="J63" s="10"/>
      <c r="K63" s="10"/>
      <c r="L63" s="10"/>
      <c r="M63" s="10"/>
      <c r="N63" s="10"/>
      <c r="O63" s="10"/>
      <c r="P63" s="10"/>
      <c r="Q63" s="10"/>
      <c r="R63" s="10"/>
      <c r="S63" s="10"/>
      <c r="T63" s="10"/>
      <c r="U63" s="10"/>
      <c r="V63" s="10"/>
      <c r="W63" s="10"/>
      <c r="X63" s="10"/>
      <c r="Y63" s="10"/>
      <c r="Z63" s="10"/>
    </row>
    <row r="64" customFormat="false" ht="166.4" hidden="false" customHeight="true" outlineLevel="0" collapsed="false">
      <c r="A64" s="10"/>
      <c r="B64" s="10"/>
      <c r="C64" s="29"/>
      <c r="D64" s="29" t="s">
        <v>614</v>
      </c>
      <c r="E64" s="29"/>
      <c r="F64" s="10"/>
      <c r="G64" s="10"/>
      <c r="H64" s="10"/>
      <c r="I64" s="10"/>
      <c r="J64" s="10"/>
      <c r="K64" s="10"/>
      <c r="L64" s="10"/>
      <c r="M64" s="10"/>
      <c r="N64" s="10"/>
      <c r="O64" s="10"/>
      <c r="P64" s="10"/>
      <c r="Q64" s="10"/>
      <c r="R64" s="10"/>
      <c r="S64" s="10"/>
      <c r="T64" s="10"/>
      <c r="U64" s="10"/>
      <c r="V64" s="10"/>
      <c r="W64" s="10"/>
      <c r="X64" s="10"/>
      <c r="Y64" s="10"/>
      <c r="Z64" s="10"/>
    </row>
    <row r="65" customFormat="false" ht="15.75" hidden="false" customHeight="false" outlineLevel="0" collapsed="false">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ustomFormat="false" ht="15.75" hidden="false" customHeight="false" outlineLevel="0" collapsed="false">
      <c r="A66" s="9" t="s">
        <v>615</v>
      </c>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ustomFormat="false" ht="15.75" hidden="false" customHeight="false" outlineLevel="0" collapsed="false">
      <c r="A67" s="10"/>
      <c r="B67" s="6" t="s">
        <v>616</v>
      </c>
      <c r="C67" s="10"/>
      <c r="D67" s="10"/>
      <c r="E67" s="10"/>
      <c r="F67" s="10"/>
      <c r="G67" s="10"/>
      <c r="H67" s="10"/>
      <c r="I67" s="10"/>
      <c r="J67" s="10"/>
      <c r="K67" s="10"/>
      <c r="L67" s="10"/>
      <c r="M67" s="10"/>
      <c r="N67" s="10"/>
      <c r="O67" s="10"/>
      <c r="P67" s="10"/>
      <c r="Q67" s="10"/>
      <c r="R67" s="10"/>
      <c r="S67" s="10"/>
      <c r="T67" s="10"/>
      <c r="U67" s="10"/>
      <c r="V67" s="10"/>
      <c r="W67" s="10"/>
      <c r="X67" s="10"/>
      <c r="Y67" s="10"/>
      <c r="Z67" s="10"/>
    </row>
    <row r="68" customFormat="false" ht="15.75" hidden="false" customHeight="false" outlineLevel="0" collapsed="false">
      <c r="A68" s="10"/>
      <c r="B68" s="10"/>
      <c r="C68" s="6" t="s">
        <v>617</v>
      </c>
      <c r="D68" s="10"/>
      <c r="E68" s="10"/>
      <c r="F68" s="10"/>
      <c r="G68" s="10"/>
      <c r="H68" s="10"/>
      <c r="I68" s="10"/>
      <c r="J68" s="10"/>
      <c r="K68" s="10"/>
      <c r="L68" s="10"/>
      <c r="M68" s="10"/>
      <c r="N68" s="10"/>
      <c r="O68" s="10"/>
      <c r="P68" s="10"/>
      <c r="Q68" s="10"/>
      <c r="R68" s="10"/>
      <c r="S68" s="10"/>
      <c r="T68" s="10"/>
      <c r="U68" s="10"/>
      <c r="V68" s="10"/>
      <c r="W68" s="10"/>
      <c r="X68" s="10"/>
      <c r="Y68" s="10"/>
      <c r="Z68" s="10"/>
    </row>
    <row r="69" customFormat="false" ht="15.75" hidden="false" customHeight="true" outlineLevel="0" collapsed="false">
      <c r="A69" s="10"/>
      <c r="B69" s="10"/>
      <c r="C69" s="10" t="s">
        <v>566</v>
      </c>
      <c r="D69" s="28" t="s">
        <v>618</v>
      </c>
      <c r="E69" s="28"/>
      <c r="F69" s="10"/>
      <c r="G69" s="10"/>
      <c r="H69" s="10"/>
      <c r="I69" s="10"/>
      <c r="J69" s="10"/>
      <c r="K69" s="10"/>
      <c r="L69" s="10"/>
      <c r="M69" s="10"/>
      <c r="N69" s="10"/>
      <c r="O69" s="10"/>
      <c r="P69" s="10"/>
      <c r="Q69" s="10"/>
      <c r="R69" s="10"/>
      <c r="S69" s="10"/>
      <c r="T69" s="10"/>
      <c r="U69" s="10"/>
      <c r="V69" s="10"/>
      <c r="W69" s="10"/>
      <c r="X69" s="10"/>
      <c r="Y69" s="10"/>
      <c r="Z69" s="10"/>
    </row>
    <row r="70" customFormat="false" ht="15.75" hidden="false" customHeight="true" outlineLevel="0" collapsed="false">
      <c r="A70" s="10"/>
      <c r="B70" s="10"/>
      <c r="C70" s="10" t="s">
        <v>568</v>
      </c>
      <c r="D70" s="28" t="s">
        <v>619</v>
      </c>
      <c r="E70" s="28"/>
      <c r="F70" s="10"/>
      <c r="G70" s="10"/>
      <c r="H70" s="10"/>
      <c r="I70" s="10"/>
      <c r="J70" s="10"/>
      <c r="K70" s="10"/>
      <c r="L70" s="10"/>
      <c r="M70" s="10"/>
      <c r="N70" s="10"/>
      <c r="O70" s="10"/>
      <c r="P70" s="10"/>
      <c r="Q70" s="10"/>
      <c r="R70" s="10"/>
      <c r="S70" s="10"/>
      <c r="T70" s="10"/>
      <c r="U70" s="10"/>
      <c r="V70" s="10"/>
      <c r="W70" s="10"/>
      <c r="X70" s="10"/>
      <c r="Y70" s="10"/>
      <c r="Z70" s="10"/>
    </row>
    <row r="71" customFormat="false" ht="179.1" hidden="false" customHeight="true" outlineLevel="0" collapsed="false">
      <c r="A71" s="10"/>
      <c r="B71" s="10"/>
      <c r="C71" s="10" t="s">
        <v>538</v>
      </c>
      <c r="D71" s="29" t="s">
        <v>620</v>
      </c>
      <c r="E71" s="29"/>
      <c r="F71" s="10"/>
      <c r="G71" s="10"/>
      <c r="H71" s="10"/>
      <c r="I71" s="10"/>
      <c r="J71" s="10"/>
      <c r="K71" s="10"/>
      <c r="L71" s="10"/>
      <c r="M71" s="10"/>
      <c r="N71" s="10"/>
      <c r="O71" s="10"/>
      <c r="P71" s="10"/>
      <c r="Q71" s="10"/>
      <c r="R71" s="10"/>
      <c r="S71" s="10"/>
      <c r="T71" s="10"/>
      <c r="U71" s="10"/>
      <c r="V71" s="10"/>
      <c r="W71" s="10"/>
      <c r="X71" s="10"/>
      <c r="Y71" s="10"/>
      <c r="Z71" s="10"/>
    </row>
    <row r="72" customFormat="false" ht="217.15" hidden="false" customHeight="true" outlineLevel="0" collapsed="false">
      <c r="A72" s="10"/>
      <c r="B72" s="10"/>
      <c r="C72" s="29" t="s">
        <v>487</v>
      </c>
      <c r="D72" s="29" t="s">
        <v>621</v>
      </c>
      <c r="E72" s="29"/>
      <c r="F72" s="10"/>
      <c r="G72" s="10"/>
      <c r="H72" s="10"/>
      <c r="I72" s="10"/>
      <c r="J72" s="10"/>
      <c r="K72" s="10"/>
      <c r="L72" s="10"/>
      <c r="M72" s="10"/>
      <c r="N72" s="10"/>
      <c r="O72" s="10"/>
      <c r="P72" s="10"/>
      <c r="Q72" s="10"/>
      <c r="R72" s="10"/>
      <c r="S72" s="10"/>
      <c r="T72" s="10"/>
      <c r="U72" s="10"/>
      <c r="V72" s="10"/>
      <c r="W72" s="10"/>
      <c r="X72" s="10"/>
      <c r="Y72" s="10"/>
      <c r="Z72" s="10"/>
    </row>
    <row r="73" customFormat="false" ht="102.95" hidden="false" customHeight="true" outlineLevel="0" collapsed="false">
      <c r="A73" s="10"/>
      <c r="B73" s="10"/>
      <c r="C73" s="29"/>
      <c r="D73" s="29" t="s">
        <v>622</v>
      </c>
      <c r="E73" s="29"/>
      <c r="F73" s="10"/>
      <c r="G73" s="10"/>
      <c r="H73" s="10"/>
      <c r="I73" s="10"/>
      <c r="J73" s="10"/>
      <c r="K73" s="10"/>
      <c r="L73" s="10"/>
      <c r="M73" s="10"/>
      <c r="N73" s="10"/>
      <c r="O73" s="10"/>
      <c r="P73" s="10"/>
      <c r="Q73" s="10"/>
      <c r="R73" s="10"/>
      <c r="S73" s="10"/>
      <c r="T73" s="10"/>
      <c r="U73" s="10"/>
      <c r="V73" s="10"/>
      <c r="W73" s="10"/>
      <c r="X73" s="10"/>
      <c r="Y73" s="10"/>
      <c r="Z73" s="10"/>
    </row>
    <row r="74" customFormat="false" ht="90.25" hidden="false" customHeight="true" outlineLevel="0" collapsed="false">
      <c r="A74" s="10"/>
      <c r="B74" s="10"/>
      <c r="C74" s="29"/>
      <c r="D74" s="29" t="s">
        <v>623</v>
      </c>
      <c r="E74" s="29"/>
      <c r="F74" s="10"/>
      <c r="G74" s="10"/>
      <c r="H74" s="10"/>
      <c r="I74" s="10"/>
      <c r="J74" s="10"/>
      <c r="K74" s="10"/>
      <c r="L74" s="10"/>
      <c r="M74" s="10"/>
      <c r="N74" s="10"/>
      <c r="O74" s="10"/>
      <c r="P74" s="10"/>
      <c r="Q74" s="10"/>
      <c r="R74" s="10"/>
      <c r="S74" s="10"/>
      <c r="T74" s="10"/>
      <c r="U74" s="10"/>
      <c r="V74" s="10"/>
      <c r="W74" s="10"/>
      <c r="X74" s="10"/>
      <c r="Y74" s="10"/>
      <c r="Z74" s="10"/>
    </row>
    <row r="75" customFormat="false" ht="102.95" hidden="false" customHeight="true" outlineLevel="0" collapsed="false">
      <c r="A75" s="10"/>
      <c r="B75" s="10"/>
      <c r="C75" s="29"/>
      <c r="D75" s="29" t="s">
        <v>624</v>
      </c>
      <c r="E75" s="29"/>
      <c r="F75" s="10"/>
      <c r="G75" s="10"/>
      <c r="H75" s="10"/>
      <c r="I75" s="10"/>
      <c r="J75" s="10"/>
      <c r="K75" s="10"/>
      <c r="L75" s="10"/>
      <c r="M75" s="10"/>
      <c r="N75" s="10"/>
      <c r="O75" s="10"/>
      <c r="P75" s="10"/>
      <c r="Q75" s="10"/>
      <c r="R75" s="10"/>
      <c r="S75" s="10"/>
      <c r="T75" s="10"/>
      <c r="U75" s="10"/>
      <c r="V75" s="10"/>
      <c r="W75" s="10"/>
      <c r="X75" s="10"/>
      <c r="Y75" s="10"/>
      <c r="Z75" s="10"/>
    </row>
    <row r="76" customFormat="false" ht="77.6" hidden="false" customHeight="true" outlineLevel="0" collapsed="false">
      <c r="A76" s="10"/>
      <c r="B76" s="10"/>
      <c r="C76" s="29"/>
      <c r="D76" s="29" t="s">
        <v>625</v>
      </c>
      <c r="E76" s="29"/>
      <c r="F76" s="10"/>
      <c r="G76" s="10"/>
      <c r="H76" s="10"/>
      <c r="I76" s="10"/>
      <c r="J76" s="10"/>
      <c r="K76" s="10"/>
      <c r="L76" s="10"/>
      <c r="M76" s="10"/>
      <c r="N76" s="10"/>
      <c r="O76" s="10"/>
      <c r="P76" s="10"/>
      <c r="Q76" s="10"/>
      <c r="R76" s="10"/>
      <c r="S76" s="10"/>
      <c r="T76" s="10"/>
      <c r="U76" s="10"/>
      <c r="V76" s="10"/>
      <c r="W76" s="10"/>
      <c r="X76" s="10"/>
      <c r="Y76" s="10"/>
      <c r="Z76" s="10"/>
    </row>
    <row r="77" customFormat="false" ht="64.9" hidden="false" customHeight="true" outlineLevel="0" collapsed="false">
      <c r="A77" s="10"/>
      <c r="B77" s="10"/>
      <c r="C77" s="29"/>
      <c r="D77" s="29" t="s">
        <v>626</v>
      </c>
      <c r="E77" s="29"/>
      <c r="F77" s="10"/>
      <c r="G77" s="10"/>
      <c r="H77" s="10"/>
      <c r="I77" s="10"/>
      <c r="J77" s="10"/>
      <c r="K77" s="10"/>
      <c r="L77" s="10"/>
      <c r="M77" s="10"/>
      <c r="N77" s="10"/>
      <c r="O77" s="10"/>
      <c r="P77" s="10"/>
      <c r="Q77" s="10"/>
      <c r="R77" s="10"/>
      <c r="S77" s="10"/>
      <c r="T77" s="10"/>
      <c r="U77" s="10"/>
      <c r="V77" s="10"/>
      <c r="W77" s="10"/>
      <c r="X77" s="10"/>
      <c r="Y77" s="10"/>
      <c r="Z77" s="10"/>
    </row>
    <row r="78" customFormat="false" ht="15.75" hidden="false" customHeight="false" outlineLevel="0" collapsed="false">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ustomFormat="false" ht="15.75" hidden="false" customHeight="false" outlineLevel="0" collapsed="false">
      <c r="A79" s="10"/>
      <c r="B79" s="10" t="s">
        <v>627</v>
      </c>
      <c r="C79" s="10"/>
      <c r="D79" s="10"/>
      <c r="E79" s="10"/>
      <c r="F79" s="10"/>
      <c r="G79" s="10"/>
      <c r="H79" s="10"/>
      <c r="I79" s="10"/>
      <c r="J79" s="10"/>
      <c r="K79" s="10"/>
      <c r="L79" s="10"/>
      <c r="M79" s="10"/>
      <c r="N79" s="10"/>
      <c r="O79" s="10"/>
      <c r="P79" s="10"/>
      <c r="Q79" s="10"/>
      <c r="R79" s="10"/>
      <c r="S79" s="10"/>
      <c r="T79" s="10"/>
      <c r="U79" s="10"/>
      <c r="V79" s="10"/>
      <c r="W79" s="10"/>
      <c r="X79" s="10"/>
      <c r="Y79" s="10"/>
      <c r="Z79" s="10"/>
    </row>
    <row r="80" customFormat="false" ht="15.75" hidden="false" customHeight="false" outlineLevel="0" collapsed="false">
      <c r="A80" s="10"/>
      <c r="B80" s="10"/>
      <c r="C80" s="6" t="s">
        <v>628</v>
      </c>
      <c r="D80" s="10"/>
      <c r="E80" s="10"/>
      <c r="F80" s="10"/>
      <c r="G80" s="10"/>
      <c r="H80" s="10"/>
      <c r="I80" s="10"/>
      <c r="J80" s="10"/>
      <c r="K80" s="10"/>
      <c r="L80" s="10"/>
      <c r="M80" s="10"/>
      <c r="N80" s="10"/>
      <c r="O80" s="10"/>
      <c r="P80" s="10"/>
      <c r="Q80" s="10"/>
      <c r="R80" s="10"/>
      <c r="S80" s="10"/>
      <c r="T80" s="10"/>
      <c r="U80" s="10"/>
      <c r="V80" s="10"/>
      <c r="W80" s="10"/>
      <c r="X80" s="10"/>
      <c r="Y80" s="10"/>
      <c r="Z80" s="10"/>
    </row>
    <row r="81" customFormat="false" ht="15.75" hidden="false" customHeight="true" outlineLevel="0" collapsed="false">
      <c r="A81" s="10"/>
      <c r="B81" s="10"/>
      <c r="C81" s="10" t="s">
        <v>566</v>
      </c>
      <c r="D81" s="28" t="s">
        <v>629</v>
      </c>
      <c r="E81" s="28"/>
      <c r="F81" s="10"/>
      <c r="G81" s="10"/>
      <c r="H81" s="10"/>
      <c r="I81" s="10"/>
      <c r="J81" s="10"/>
      <c r="K81" s="10"/>
      <c r="L81" s="10"/>
      <c r="M81" s="10"/>
      <c r="N81" s="10"/>
      <c r="O81" s="10"/>
      <c r="P81" s="10"/>
      <c r="Q81" s="10"/>
      <c r="R81" s="10"/>
      <c r="S81" s="10"/>
      <c r="T81" s="10"/>
      <c r="U81" s="10"/>
      <c r="V81" s="10"/>
      <c r="W81" s="10"/>
      <c r="X81" s="10"/>
      <c r="Y81" s="10"/>
      <c r="Z81" s="10"/>
    </row>
    <row r="82" customFormat="false" ht="15.75" hidden="false" customHeight="true" outlineLevel="0" collapsed="false">
      <c r="A82" s="10"/>
      <c r="B82" s="10"/>
      <c r="C82" s="10" t="s">
        <v>568</v>
      </c>
      <c r="D82" s="28" t="s">
        <v>630</v>
      </c>
      <c r="E82" s="28"/>
      <c r="F82" s="10"/>
      <c r="G82" s="10"/>
      <c r="H82" s="10"/>
      <c r="I82" s="10"/>
      <c r="J82" s="10"/>
      <c r="K82" s="10"/>
      <c r="L82" s="10"/>
      <c r="M82" s="10"/>
      <c r="N82" s="10"/>
      <c r="O82" s="10"/>
      <c r="P82" s="10"/>
      <c r="Q82" s="10"/>
      <c r="R82" s="10"/>
      <c r="S82" s="10"/>
      <c r="T82" s="10"/>
      <c r="U82" s="10"/>
      <c r="V82" s="10"/>
      <c r="W82" s="10"/>
      <c r="X82" s="10"/>
      <c r="Y82" s="10"/>
      <c r="Z82" s="10"/>
    </row>
    <row r="83" customFormat="false" ht="141" hidden="false" customHeight="true" outlineLevel="0" collapsed="false">
      <c r="A83" s="10"/>
      <c r="B83" s="10"/>
      <c r="C83" s="29" t="s">
        <v>487</v>
      </c>
      <c r="D83" s="29" t="s">
        <v>631</v>
      </c>
      <c r="E83" s="29"/>
      <c r="F83" s="10"/>
      <c r="G83" s="10"/>
      <c r="H83" s="10"/>
      <c r="I83" s="10"/>
      <c r="J83" s="10"/>
      <c r="K83" s="10"/>
      <c r="L83" s="10"/>
      <c r="M83" s="10"/>
      <c r="N83" s="10"/>
      <c r="O83" s="10"/>
      <c r="P83" s="10"/>
      <c r="Q83" s="10"/>
      <c r="R83" s="10"/>
      <c r="S83" s="10"/>
      <c r="T83" s="10"/>
      <c r="U83" s="10"/>
      <c r="V83" s="10"/>
      <c r="W83" s="10"/>
      <c r="X83" s="10"/>
      <c r="Y83" s="10"/>
      <c r="Z83" s="10"/>
    </row>
    <row r="84" customFormat="false" ht="90.25" hidden="false" customHeight="true" outlineLevel="0" collapsed="false">
      <c r="A84" s="10"/>
      <c r="B84" s="10"/>
      <c r="C84" s="29"/>
      <c r="D84" s="29" t="s">
        <v>632</v>
      </c>
      <c r="E84" s="29"/>
      <c r="F84" s="10"/>
      <c r="G84" s="10"/>
      <c r="H84" s="10"/>
      <c r="I84" s="10"/>
      <c r="J84" s="10"/>
      <c r="K84" s="10"/>
      <c r="L84" s="10"/>
      <c r="M84" s="10"/>
      <c r="N84" s="10"/>
      <c r="O84" s="10"/>
      <c r="P84" s="10"/>
      <c r="Q84" s="10"/>
      <c r="R84" s="10"/>
      <c r="S84" s="10"/>
      <c r="T84" s="10"/>
      <c r="U84" s="10"/>
      <c r="V84" s="10"/>
      <c r="W84" s="10"/>
      <c r="X84" s="10"/>
      <c r="Y84" s="10"/>
      <c r="Z84" s="10"/>
    </row>
    <row r="85" customFormat="false" ht="15.75" hidden="false" customHeight="false" outlineLevel="0" collapsed="false">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ustomFormat="false" ht="15.75" hidden="false" customHeight="false" outlineLevel="0" collapsed="false">
      <c r="A86" s="9" t="s">
        <v>633</v>
      </c>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ustomFormat="false" ht="15.75" hidden="false" customHeight="false" outlineLevel="0" collapsed="false">
      <c r="A87" s="10"/>
      <c r="B87" s="6" t="s">
        <v>634</v>
      </c>
      <c r="C87" s="10"/>
      <c r="D87" s="10"/>
      <c r="E87" s="10"/>
      <c r="F87" s="10"/>
      <c r="G87" s="10"/>
      <c r="H87" s="10"/>
      <c r="I87" s="10"/>
      <c r="J87" s="10"/>
      <c r="K87" s="10"/>
      <c r="L87" s="10"/>
      <c r="M87" s="10"/>
      <c r="N87" s="10"/>
      <c r="O87" s="10"/>
      <c r="P87" s="10"/>
      <c r="Q87" s="10"/>
      <c r="R87" s="10"/>
      <c r="S87" s="10"/>
      <c r="T87" s="10"/>
      <c r="U87" s="10"/>
      <c r="V87" s="10"/>
      <c r="W87" s="10"/>
      <c r="X87" s="10"/>
      <c r="Y87" s="10"/>
      <c r="Z87" s="10"/>
    </row>
    <row r="88" customFormat="false" ht="15.75" hidden="false" customHeight="false" outlineLevel="0" collapsed="false">
      <c r="A88" s="10"/>
      <c r="B88" s="37" t="s">
        <v>635</v>
      </c>
      <c r="C88" s="37" t="s">
        <v>636</v>
      </c>
      <c r="D88" s="37" t="s">
        <v>637</v>
      </c>
      <c r="E88" s="10"/>
      <c r="F88" s="10"/>
      <c r="G88" s="10"/>
      <c r="H88" s="10"/>
      <c r="I88" s="10"/>
      <c r="J88" s="10"/>
      <c r="K88" s="10"/>
      <c r="L88" s="10"/>
      <c r="M88" s="10"/>
      <c r="N88" s="10"/>
      <c r="O88" s="10"/>
      <c r="P88" s="10"/>
      <c r="Q88" s="10"/>
      <c r="R88" s="10"/>
      <c r="S88" s="10"/>
      <c r="T88" s="10"/>
      <c r="U88" s="10"/>
      <c r="V88" s="10"/>
      <c r="W88" s="10"/>
      <c r="X88" s="10"/>
      <c r="Y88" s="10"/>
      <c r="Z88" s="10"/>
    </row>
    <row r="89" customFormat="false" ht="26.85" hidden="false" customHeight="false" outlineLevel="0" collapsed="false">
      <c r="A89" s="10"/>
      <c r="B89" s="38" t="s">
        <v>579</v>
      </c>
      <c r="C89" s="38" t="s">
        <v>580</v>
      </c>
      <c r="D89" s="38" t="s">
        <v>578</v>
      </c>
      <c r="E89" s="10"/>
      <c r="F89" s="10"/>
      <c r="G89" s="10"/>
      <c r="H89" s="10"/>
      <c r="I89" s="10"/>
      <c r="J89" s="10"/>
      <c r="K89" s="10"/>
      <c r="L89" s="10"/>
      <c r="M89" s="10"/>
      <c r="N89" s="10"/>
      <c r="O89" s="10"/>
      <c r="P89" s="10"/>
      <c r="Q89" s="10"/>
      <c r="R89" s="10"/>
      <c r="S89" s="10"/>
      <c r="T89" s="10"/>
      <c r="U89" s="10"/>
      <c r="V89" s="10"/>
      <c r="W89" s="10"/>
      <c r="X89" s="10"/>
      <c r="Y89" s="10"/>
      <c r="Z89" s="10"/>
    </row>
    <row r="90" customFormat="false" ht="26.85" hidden="false" customHeight="false" outlineLevel="0" collapsed="false">
      <c r="A90" s="10"/>
      <c r="B90" s="38" t="s">
        <v>585</v>
      </c>
      <c r="C90" s="38" t="s">
        <v>638</v>
      </c>
      <c r="D90" s="38" t="s">
        <v>639</v>
      </c>
      <c r="E90" s="10"/>
      <c r="F90" s="10"/>
      <c r="G90" s="10"/>
      <c r="H90" s="10"/>
      <c r="I90" s="10"/>
      <c r="J90" s="10"/>
      <c r="K90" s="10"/>
      <c r="L90" s="10"/>
      <c r="M90" s="10"/>
      <c r="N90" s="10"/>
      <c r="O90" s="10"/>
      <c r="P90" s="10"/>
      <c r="Q90" s="10"/>
      <c r="R90" s="10"/>
      <c r="S90" s="10"/>
      <c r="T90" s="10"/>
      <c r="U90" s="10"/>
      <c r="V90" s="10"/>
      <c r="W90" s="10"/>
      <c r="X90" s="10"/>
      <c r="Y90" s="10"/>
      <c r="Z90" s="10"/>
    </row>
    <row r="91" customFormat="false" ht="26.85" hidden="false" customHeight="false" outlineLevel="0" collapsed="false">
      <c r="A91" s="10"/>
      <c r="B91" s="38" t="s">
        <v>582</v>
      </c>
      <c r="C91" s="38" t="s">
        <v>583</v>
      </c>
      <c r="D91" s="38" t="s">
        <v>640</v>
      </c>
      <c r="E91" s="10"/>
      <c r="F91" s="10"/>
      <c r="G91" s="10"/>
      <c r="H91" s="10"/>
      <c r="I91" s="10"/>
      <c r="J91" s="10"/>
      <c r="K91" s="10"/>
      <c r="L91" s="10"/>
      <c r="M91" s="10"/>
      <c r="N91" s="10"/>
      <c r="O91" s="10"/>
      <c r="P91" s="10"/>
      <c r="Q91" s="10"/>
      <c r="R91" s="10"/>
      <c r="S91" s="10"/>
      <c r="T91" s="10"/>
      <c r="U91" s="10"/>
      <c r="V91" s="10"/>
      <c r="W91" s="10"/>
      <c r="X91" s="10"/>
      <c r="Y91" s="10"/>
      <c r="Z91" s="10"/>
    </row>
    <row r="92" customFormat="false" ht="26.85" hidden="false" customHeight="false" outlineLevel="0" collapsed="false">
      <c r="A92" s="10"/>
      <c r="B92" s="38" t="s">
        <v>588</v>
      </c>
      <c r="C92" s="38" t="s">
        <v>641</v>
      </c>
      <c r="D92" s="38" t="s">
        <v>642</v>
      </c>
      <c r="E92" s="10"/>
      <c r="F92" s="10"/>
      <c r="G92" s="10"/>
      <c r="H92" s="10"/>
      <c r="I92" s="10"/>
      <c r="J92" s="10"/>
      <c r="K92" s="10"/>
      <c r="L92" s="10"/>
      <c r="M92" s="10"/>
      <c r="N92" s="10"/>
      <c r="O92" s="10"/>
      <c r="P92" s="10"/>
      <c r="Q92" s="10"/>
      <c r="R92" s="10"/>
      <c r="S92" s="10"/>
      <c r="T92" s="10"/>
      <c r="U92" s="10"/>
      <c r="V92" s="10"/>
      <c r="W92" s="10"/>
      <c r="X92" s="10"/>
      <c r="Y92" s="10"/>
      <c r="Z92" s="10"/>
    </row>
    <row r="93" customFormat="false" ht="15.75" hidden="false" customHeight="false" outlineLevel="0" collapsed="false">
      <c r="A93" s="10"/>
      <c r="B93" s="35" t="s">
        <v>643</v>
      </c>
      <c r="C93" s="10"/>
      <c r="D93" s="10"/>
      <c r="E93" s="10"/>
      <c r="F93" s="10"/>
      <c r="G93" s="10"/>
      <c r="H93" s="10"/>
      <c r="I93" s="10"/>
      <c r="J93" s="10"/>
      <c r="K93" s="10"/>
      <c r="L93" s="10"/>
      <c r="M93" s="10"/>
      <c r="N93" s="10"/>
      <c r="O93" s="10"/>
      <c r="P93" s="10"/>
      <c r="Q93" s="10"/>
      <c r="R93" s="10"/>
      <c r="S93" s="10"/>
      <c r="T93" s="10"/>
      <c r="U93" s="10"/>
      <c r="V93" s="10"/>
      <c r="W93" s="10"/>
      <c r="X93" s="10"/>
      <c r="Y93" s="10"/>
      <c r="Z93" s="10"/>
    </row>
    <row r="94" customFormat="false" ht="15.75" hidden="false" customHeight="false" outlineLevel="0" collapsed="false">
      <c r="A94" s="10"/>
      <c r="B94" s="35" t="s">
        <v>644</v>
      </c>
      <c r="C94" s="10"/>
      <c r="D94" s="10"/>
      <c r="E94" s="10"/>
      <c r="F94" s="10"/>
      <c r="G94" s="10"/>
      <c r="H94" s="10"/>
      <c r="I94" s="10"/>
      <c r="J94" s="10"/>
      <c r="K94" s="10"/>
      <c r="L94" s="10"/>
      <c r="M94" s="10"/>
      <c r="N94" s="10"/>
      <c r="O94" s="10"/>
      <c r="P94" s="10"/>
      <c r="Q94" s="10"/>
      <c r="R94" s="10"/>
      <c r="S94" s="10"/>
      <c r="T94" s="10"/>
      <c r="U94" s="10"/>
      <c r="V94" s="10"/>
      <c r="W94" s="10"/>
      <c r="X94" s="10"/>
      <c r="Y94" s="10"/>
      <c r="Z94" s="10"/>
    </row>
    <row r="95" customFormat="false" ht="15.75" hidden="false" customHeight="false" outlineLevel="0" collapsed="false">
      <c r="A95" s="10"/>
      <c r="B95" s="35" t="s">
        <v>645</v>
      </c>
      <c r="C95" s="10"/>
      <c r="D95" s="10"/>
      <c r="E95" s="10"/>
      <c r="F95" s="10"/>
      <c r="G95" s="10"/>
      <c r="H95" s="10"/>
      <c r="I95" s="10"/>
      <c r="J95" s="10"/>
      <c r="K95" s="10"/>
      <c r="L95" s="10"/>
      <c r="M95" s="10"/>
      <c r="N95" s="10"/>
      <c r="O95" s="10"/>
      <c r="P95" s="10"/>
      <c r="Q95" s="10"/>
      <c r="R95" s="10"/>
      <c r="S95" s="10"/>
      <c r="T95" s="10"/>
      <c r="U95" s="10"/>
      <c r="V95" s="10"/>
      <c r="W95" s="10"/>
      <c r="X95" s="10"/>
      <c r="Y95" s="10"/>
      <c r="Z95" s="10"/>
    </row>
    <row r="96" customFormat="false" ht="15.75" hidden="false" customHeight="false" outlineLevel="0" collapsed="false">
      <c r="A96" s="10"/>
      <c r="B96" s="35" t="s">
        <v>646</v>
      </c>
      <c r="C96" s="10"/>
      <c r="D96" s="10"/>
      <c r="E96" s="10"/>
      <c r="F96" s="10"/>
      <c r="G96" s="10"/>
      <c r="H96" s="10"/>
      <c r="I96" s="10"/>
      <c r="J96" s="10"/>
      <c r="K96" s="10"/>
      <c r="L96" s="10"/>
      <c r="M96" s="10"/>
      <c r="N96" s="10"/>
      <c r="O96" s="10"/>
      <c r="P96" s="10"/>
      <c r="Q96" s="10"/>
      <c r="R96" s="10"/>
      <c r="S96" s="10"/>
      <c r="T96" s="10"/>
      <c r="U96" s="10"/>
      <c r="V96" s="10"/>
      <c r="W96" s="10"/>
      <c r="X96" s="10"/>
      <c r="Y96" s="10"/>
      <c r="Z96" s="10"/>
    </row>
    <row r="97" customFormat="false" ht="15.75" hidden="false" customHeight="false" outlineLevel="0" collapsed="false">
      <c r="A97" s="10"/>
      <c r="B97" s="35" t="s">
        <v>647</v>
      </c>
      <c r="C97" s="10"/>
      <c r="D97" s="10"/>
      <c r="E97" s="10"/>
      <c r="F97" s="10"/>
      <c r="G97" s="10"/>
      <c r="H97" s="10"/>
      <c r="I97" s="10"/>
      <c r="J97" s="10"/>
      <c r="K97" s="10"/>
      <c r="L97" s="10"/>
      <c r="M97" s="10"/>
      <c r="N97" s="10"/>
      <c r="O97" s="10"/>
      <c r="P97" s="10"/>
      <c r="Q97" s="10"/>
      <c r="R97" s="10"/>
      <c r="S97" s="10"/>
      <c r="T97" s="10"/>
      <c r="U97" s="10"/>
      <c r="V97" s="10"/>
      <c r="W97" s="10"/>
      <c r="X97" s="10"/>
      <c r="Y97" s="10"/>
      <c r="Z97" s="10"/>
    </row>
    <row r="98" customFormat="false" ht="15.75" hidden="false" customHeight="false" outlineLevel="0" collapsed="false">
      <c r="A98" s="10"/>
      <c r="B98" s="35" t="s">
        <v>648</v>
      </c>
      <c r="C98" s="10"/>
      <c r="D98" s="10"/>
      <c r="E98" s="10"/>
      <c r="F98" s="10"/>
      <c r="G98" s="10"/>
      <c r="H98" s="10"/>
      <c r="I98" s="10"/>
      <c r="J98" s="10"/>
      <c r="K98" s="10"/>
      <c r="L98" s="10"/>
      <c r="M98" s="10"/>
      <c r="N98" s="10"/>
      <c r="O98" s="10"/>
      <c r="P98" s="10"/>
      <c r="Q98" s="10"/>
      <c r="R98" s="10"/>
      <c r="S98" s="10"/>
      <c r="T98" s="10"/>
      <c r="U98" s="10"/>
      <c r="V98" s="10"/>
      <c r="W98" s="10"/>
      <c r="X98" s="10"/>
      <c r="Y98" s="10"/>
      <c r="Z98" s="10"/>
    </row>
    <row r="99" customFormat="false" ht="15.75" hidden="false" customHeight="false" outlineLevel="0" collapsed="false">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ustomFormat="false" ht="15.75" hidden="false" customHeight="false" outlineLevel="0" collapsed="false">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ustomFormat="false" ht="15.75" hidden="false" customHeight="false" outlineLevel="0" collapsed="false">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ustomFormat="false" ht="15.75" hidden="false" customHeight="false" outlineLevel="0" collapsed="false">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ustomFormat="false" ht="15.75" hidden="false" customHeight="false" outlineLevel="0" collapsed="false">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ustomFormat="false" ht="15.75" hidden="false" customHeight="false" outlineLevel="0" collapsed="false">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ustomFormat="false" ht="15.75" hidden="false" customHeight="false" outlineLevel="0" collapsed="false">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ustomFormat="false" ht="15.75" hidden="false" customHeight="false" outlineLevel="0" collapsed="false">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ustomFormat="false" ht="15.75" hidden="false" customHeight="false" outlineLevel="0" collapsed="false">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ustomFormat="false" ht="15.75" hidden="false" customHeight="false" outlineLevel="0" collapsed="false">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ustomFormat="false" ht="15.75" hidden="false" customHeight="false" outlineLevel="0" collapsed="false">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ustomFormat="false" ht="15.75" hidden="false" customHeight="false" outlineLevel="0" collapsed="false">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ustomFormat="false" ht="15.75" hidden="false" customHeight="false" outlineLevel="0" collapsed="false">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ustomFormat="false" ht="15.75" hidden="false" customHeight="false" outlineLevel="0" collapsed="false">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ustomFormat="false" ht="15.75" hidden="false" customHeight="false" outlineLevel="0" collapsed="false">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ustomFormat="false" ht="15.75" hidden="false" customHeight="false" outlineLevel="0" collapsed="false">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ustomFormat="false" ht="15.75" hidden="false" customHeight="false" outlineLevel="0" collapsed="false">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ustomFormat="false" ht="15.75" hidden="false" customHeight="false" outlineLevel="0" collapsed="false">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ustomFormat="false" ht="15.75" hidden="false" customHeight="false" outlineLevel="0" collapsed="false">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ustomFormat="false" ht="15.75" hidden="false" customHeight="false" outlineLevel="0" collapsed="false">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ustomFormat="false" ht="15.75" hidden="false" customHeight="false" outlineLevel="0" collapsed="false">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ustomFormat="false" ht="15.75" hidden="false" customHeight="false" outlineLevel="0" collapsed="false">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ustomFormat="false" ht="15.75" hidden="false" customHeight="false" outlineLevel="0" collapsed="false">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ustomFormat="false" ht="15.75" hidden="false" customHeight="false" outlineLevel="0" collapsed="false">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ustomFormat="false" ht="15.75" hidden="false" customHeight="false" outlineLevel="0" collapsed="false">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ustomFormat="false" ht="15.75" hidden="false" customHeight="false" outlineLevel="0" collapsed="false">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ustomFormat="false" ht="15.75" hidden="false" customHeight="false" outlineLevel="0" collapsed="false">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ustomFormat="false" ht="15.75" hidden="false" customHeight="false" outlineLevel="0" collapsed="false">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ustomFormat="false" ht="15.75" hidden="false" customHeight="false" outlineLevel="0" collapsed="false">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ustomFormat="false" ht="15.75" hidden="false" customHeight="false" outlineLevel="0" collapsed="false">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ustomFormat="false" ht="15.75" hidden="false" customHeight="false" outlineLevel="0" collapsed="false">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ustomFormat="false" ht="15.75" hidden="false" customHeight="false" outlineLevel="0" collapsed="false">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ustomFormat="false" ht="15.75" hidden="false" customHeight="false" outlineLevel="0" collapsed="false">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ustomFormat="false" ht="15.75" hidden="false" customHeight="false" outlineLevel="0" collapsed="false">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ustomFormat="false" ht="15.75" hidden="false" customHeight="false" outlineLevel="0" collapsed="false">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ustomFormat="false" ht="15.75" hidden="false" customHeight="false" outlineLevel="0" collapsed="false">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ustomFormat="false" ht="15.75" hidden="false" customHeight="false" outlineLevel="0" collapsed="false">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ustomFormat="false" ht="15.75" hidden="false" customHeight="false" outlineLevel="0" collapsed="false">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ustomFormat="false" ht="15.75" hidden="false" customHeight="false" outlineLevel="0" collapsed="false">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ustomFormat="false" ht="15.75" hidden="false" customHeight="false" outlineLevel="0" collapsed="false">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ustomFormat="false" ht="15.75" hidden="false" customHeight="false" outlineLevel="0" collapsed="false">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ustomFormat="false" ht="15.75" hidden="false" customHeight="false" outlineLevel="0" collapsed="false">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ustomFormat="false" ht="15.75" hidden="false" customHeight="false" outlineLevel="0" collapsed="false">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ustomFormat="false" ht="15.75" hidden="false" customHeight="false" outlineLevel="0" collapsed="false">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ustomFormat="false" ht="15.75" hidden="false" customHeight="false" outlineLevel="0" collapsed="false">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ustomFormat="false" ht="15.75" hidden="false" customHeight="false" outlineLevel="0" collapsed="false">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ustomFormat="false" ht="15.75" hidden="false" customHeight="false" outlineLevel="0" collapsed="false">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ustomFormat="false" ht="15.75" hidden="false" customHeight="false" outlineLevel="0" collapsed="false">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ustomFormat="false" ht="15.75" hidden="false" customHeight="false" outlineLevel="0" collapsed="false">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ustomFormat="false" ht="15.75" hidden="false" customHeight="false" outlineLevel="0" collapsed="false">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ustomFormat="false" ht="15.75" hidden="false" customHeight="false" outlineLevel="0" collapsed="false">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ustomFormat="false" ht="15.75" hidden="false" customHeight="false" outlineLevel="0" collapsed="false">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ustomFormat="false" ht="15.75" hidden="false" customHeight="false" outlineLevel="0" collapsed="false">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ustomFormat="false" ht="15.75" hidden="false" customHeight="false" outlineLevel="0" collapsed="false">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ustomFormat="false" ht="15.75" hidden="false" customHeight="false" outlineLevel="0" collapsed="false">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ustomFormat="false" ht="15.75" hidden="false" customHeight="false" outlineLevel="0" collapsed="false">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ustomFormat="false" ht="15.75" hidden="false" customHeight="false" outlineLevel="0" collapsed="false">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ustomFormat="false" ht="15.75" hidden="false" customHeight="false" outlineLevel="0" collapsed="false">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ustomFormat="false" ht="15.75" hidden="false" customHeight="false" outlineLevel="0" collapsed="false">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ustomFormat="false" ht="15.75" hidden="false" customHeight="false" outlineLevel="0" collapsed="false">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ustomFormat="false" ht="15.75" hidden="false" customHeight="false" outlineLevel="0" collapsed="false">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ustomFormat="false" ht="15.75" hidden="false" customHeight="false" outlineLevel="0" collapsed="false">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ustomFormat="false" ht="15.75" hidden="false" customHeight="false" outlineLevel="0" collapsed="false">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ustomFormat="false" ht="15.75" hidden="false" customHeight="false" outlineLevel="0" collapsed="false">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ustomFormat="false" ht="15.75" hidden="false" customHeight="false" outlineLevel="0" collapsed="false">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ustomFormat="false" ht="15.75" hidden="false" customHeight="false" outlineLevel="0" collapsed="false">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ustomFormat="false" ht="15.75" hidden="false" customHeight="false" outlineLevel="0" collapsed="false">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ustomFormat="false" ht="15.75" hidden="false" customHeight="false" outlineLevel="0" collapsed="false">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ustomFormat="false" ht="15.75" hidden="false" customHeight="false" outlineLevel="0" collapsed="false">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ustomFormat="false" ht="15.75" hidden="false" customHeight="false" outlineLevel="0" collapsed="false">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ustomFormat="false" ht="15.75" hidden="false" customHeight="false" outlineLevel="0" collapsed="false">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ustomFormat="false" ht="15.75" hidden="false" customHeight="false" outlineLevel="0" collapsed="false">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ustomFormat="false" ht="15.75" hidden="false" customHeight="false" outlineLevel="0" collapsed="false">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ustomFormat="false" ht="15.75" hidden="false" customHeight="false" outlineLevel="0" collapsed="false">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ustomFormat="false" ht="15.75" hidden="false" customHeight="false" outlineLevel="0" collapsed="false">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ustomFormat="false" ht="15.75" hidden="false" customHeight="false" outlineLevel="0" collapsed="false">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ustomFormat="false" ht="15.75" hidden="false" customHeight="false" outlineLevel="0" collapsed="false">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ustomFormat="false" ht="15.75" hidden="false" customHeight="false" outlineLevel="0" collapsed="false">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ustomFormat="false" ht="15.75" hidden="false" customHeight="false" outlineLevel="0" collapsed="false">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ustomFormat="false" ht="15.75" hidden="false" customHeight="false" outlineLevel="0" collapsed="false">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ustomFormat="false" ht="15.75" hidden="false" customHeight="false" outlineLevel="0" collapsed="false">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ustomFormat="false" ht="15.75" hidden="false" customHeight="false" outlineLevel="0" collapsed="false">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ustomFormat="false" ht="15.75" hidden="false" customHeight="false" outlineLevel="0" collapsed="false">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ustomFormat="false" ht="15.75" hidden="false" customHeight="false" outlineLevel="0" collapsed="false">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ustomFormat="false" ht="15.75" hidden="false" customHeight="false" outlineLevel="0" collapsed="false">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ustomFormat="false" ht="15.75" hidden="false" customHeight="false" outlineLevel="0" collapsed="false">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ustomFormat="false" ht="15.75" hidden="false" customHeight="false" outlineLevel="0" collapsed="false">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ustomFormat="false" ht="15.75" hidden="false" customHeight="false" outlineLevel="0" collapsed="false">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ustomFormat="false" ht="15.75" hidden="false" customHeight="false" outlineLevel="0" collapsed="false">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ustomFormat="false" ht="15.75" hidden="false" customHeight="false" outlineLevel="0" collapsed="false">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ustomFormat="false" ht="15.75" hidden="false" customHeight="false" outlineLevel="0" collapsed="false">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ustomFormat="false" ht="15.75" hidden="false" customHeight="false" outlineLevel="0" collapsed="false">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ustomFormat="false" ht="15.75" hidden="false" customHeight="false" outlineLevel="0" collapsed="false">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ustomFormat="false" ht="15.75" hidden="false" customHeight="false" outlineLevel="0" collapsed="false">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ustomFormat="false" ht="15.75" hidden="false" customHeight="false" outlineLevel="0" collapsed="false">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ustomFormat="false" ht="15.75" hidden="false" customHeight="false" outlineLevel="0" collapsed="false">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ustomFormat="false" ht="15.75" hidden="false" customHeight="false" outlineLevel="0" collapsed="false">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ustomFormat="false" ht="15.75" hidden="false" customHeight="false" outlineLevel="0" collapsed="false">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ustomFormat="false" ht="15.75" hidden="false" customHeight="false" outlineLevel="0" collapsed="false">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ustomFormat="false" ht="15.75" hidden="false" customHeight="false" outlineLevel="0" collapsed="false">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ustomFormat="false" ht="15.75" hidden="false" customHeight="false" outlineLevel="0" collapsed="false">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ustomFormat="false" ht="15.75" hidden="false" customHeight="false" outlineLevel="0" collapsed="false">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ustomFormat="false" ht="15.75" hidden="false" customHeight="false" outlineLevel="0" collapsed="false">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ustomFormat="false" ht="15.75" hidden="false" customHeight="false" outlineLevel="0" collapsed="false">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ustomFormat="false" ht="15.75" hidden="false" customHeight="false" outlineLevel="0" collapsed="false">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ustomFormat="false" ht="15.75" hidden="false" customHeight="false" outlineLevel="0" collapsed="false">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ustomFormat="false" ht="15.75" hidden="false" customHeight="false" outlineLevel="0" collapsed="false">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ustomFormat="false" ht="15.75" hidden="false" customHeight="false" outlineLevel="0" collapsed="false">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ustomFormat="false" ht="15.75" hidden="false" customHeight="false" outlineLevel="0" collapsed="false">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ustomFormat="false" ht="15.75" hidden="false" customHeight="false" outlineLevel="0" collapsed="false">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ustomFormat="false" ht="15.75" hidden="false" customHeight="false" outlineLevel="0" collapsed="false">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ustomFormat="false" ht="15.75" hidden="false" customHeight="false" outlineLevel="0" collapsed="false">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ustomFormat="false" ht="15.75" hidden="false" customHeight="false" outlineLevel="0" collapsed="false">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ustomFormat="false" ht="15.75" hidden="false" customHeight="false" outlineLevel="0" collapsed="false">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ustomFormat="false" ht="15.75" hidden="false" customHeight="false" outlineLevel="0" collapsed="false">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ustomFormat="false" ht="15.75" hidden="false" customHeight="false" outlineLevel="0" collapsed="false">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ustomFormat="false" ht="15.75" hidden="false" customHeight="false" outlineLevel="0" collapsed="false">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ustomFormat="false" ht="15.75" hidden="false" customHeight="false" outlineLevel="0" collapsed="false">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ustomFormat="false" ht="15.75" hidden="false" customHeight="false" outlineLevel="0" collapsed="false">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ustomFormat="false" ht="15.75" hidden="false" customHeight="false" outlineLevel="0" collapsed="false">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ustomFormat="false" ht="15.75" hidden="false" customHeight="false" outlineLevel="0" collapsed="false">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ustomFormat="false" ht="15.75" hidden="false" customHeight="false" outlineLevel="0" collapsed="false">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ustomFormat="false" ht="15.75" hidden="false" customHeight="false" outlineLevel="0" collapsed="false">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ustomFormat="false" ht="15.75" hidden="false" customHeight="false" outlineLevel="0" collapsed="false">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ustomFormat="false" ht="15.75" hidden="false" customHeight="false" outlineLevel="0" collapsed="false">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ustomFormat="false" ht="15.75" hidden="false" customHeight="false" outlineLevel="0" collapsed="false">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ustomFormat="false" ht="15.75" hidden="false" customHeight="false" outlineLevel="0" collapsed="false">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ustomFormat="false" ht="15.75" hidden="false" customHeight="false" outlineLevel="0" collapsed="false">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ustomFormat="false" ht="15.75" hidden="false" customHeight="false" outlineLevel="0" collapsed="false">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ustomFormat="false" ht="15.75" hidden="false" customHeight="false" outlineLevel="0" collapsed="false">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ustomFormat="false" ht="15.75" hidden="false" customHeight="false" outlineLevel="0" collapsed="false">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ustomFormat="false" ht="15.75" hidden="false" customHeight="false" outlineLevel="0" collapsed="false">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ustomFormat="false" ht="15.75" hidden="false" customHeight="false" outlineLevel="0" collapsed="false">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ustomFormat="false" ht="15.75" hidden="false" customHeight="false" outlineLevel="0" collapsed="false">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ustomFormat="false" ht="15.75" hidden="false" customHeight="false" outlineLevel="0" collapsed="false">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ustomFormat="false" ht="15.75" hidden="false" customHeight="false" outlineLevel="0" collapsed="false">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ustomFormat="false" ht="15.75" hidden="false" customHeight="false" outlineLevel="0" collapsed="false">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ustomFormat="false" ht="15.75" hidden="false" customHeight="false" outlineLevel="0" collapsed="false">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ustomFormat="false" ht="15.75" hidden="false" customHeight="false" outlineLevel="0" collapsed="false">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ustomFormat="false" ht="15.75" hidden="false" customHeight="false" outlineLevel="0" collapsed="false">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ustomFormat="false" ht="15.75" hidden="false" customHeight="false" outlineLevel="0" collapsed="false">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ustomFormat="false" ht="15.75" hidden="false" customHeight="false" outlineLevel="0" collapsed="false">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ustomFormat="false" ht="15.75" hidden="false" customHeight="false" outlineLevel="0" collapsed="false">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ustomFormat="false" ht="15.75" hidden="false" customHeight="false" outlineLevel="0" collapsed="false">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ustomFormat="false" ht="15.75" hidden="false" customHeight="false" outlineLevel="0" collapsed="false">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ustomFormat="false" ht="15.75" hidden="false" customHeight="false" outlineLevel="0" collapsed="false">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ustomFormat="false" ht="15.75" hidden="false" customHeight="false" outlineLevel="0" collapsed="false">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ustomFormat="false" ht="15.75" hidden="false" customHeight="false" outlineLevel="0" collapsed="false">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ustomFormat="false" ht="15.75" hidden="false" customHeight="false" outlineLevel="0" collapsed="false">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ustomFormat="false" ht="15.75" hidden="false" customHeight="false" outlineLevel="0" collapsed="false">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ustomFormat="false" ht="15.75" hidden="false" customHeight="false" outlineLevel="0" collapsed="false">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ustomFormat="false" ht="15.75" hidden="false" customHeight="false" outlineLevel="0" collapsed="false">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ustomFormat="false" ht="15.75" hidden="false" customHeight="false" outlineLevel="0" collapsed="false">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ustomFormat="false" ht="15.75" hidden="false" customHeight="false" outlineLevel="0" collapsed="false">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ustomFormat="false" ht="15.75" hidden="false" customHeight="false" outlineLevel="0" collapsed="false">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ustomFormat="false" ht="15.75" hidden="false" customHeight="false" outlineLevel="0" collapsed="false">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ustomFormat="false" ht="15.75" hidden="false" customHeight="false" outlineLevel="0" collapsed="false">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ustomFormat="false" ht="15.75" hidden="false" customHeight="false" outlineLevel="0" collapsed="false">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ustomFormat="false" ht="15.75" hidden="false" customHeight="false" outlineLevel="0" collapsed="false">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ustomFormat="false" ht="15.75" hidden="false" customHeight="false" outlineLevel="0" collapsed="false">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ustomFormat="false" ht="15.75" hidden="false" customHeight="false" outlineLevel="0" collapsed="false">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ustomFormat="false" ht="15.75" hidden="false" customHeight="false" outlineLevel="0" collapsed="false">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ustomFormat="false" ht="15.75" hidden="false" customHeight="false" outlineLevel="0" collapsed="false">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ustomFormat="false" ht="15.75" hidden="false" customHeight="false" outlineLevel="0" collapsed="false">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ustomFormat="false" ht="15.75" hidden="false" customHeight="false" outlineLevel="0" collapsed="false">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ustomFormat="false" ht="15.75" hidden="false" customHeight="false" outlineLevel="0" collapsed="false">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ustomFormat="false" ht="15.75" hidden="false" customHeight="false" outlineLevel="0" collapsed="false">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ustomFormat="false" ht="15.75" hidden="false" customHeight="false" outlineLevel="0" collapsed="false">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ustomFormat="false" ht="15.75" hidden="false" customHeight="false" outlineLevel="0" collapsed="false">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ustomFormat="false" ht="15.75" hidden="false" customHeight="false" outlineLevel="0" collapsed="false">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ustomFormat="false" ht="15.75" hidden="false" customHeight="false" outlineLevel="0" collapsed="false">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ustomFormat="false" ht="15.75" hidden="false" customHeight="false" outlineLevel="0" collapsed="false">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ustomFormat="false" ht="15.75" hidden="false" customHeight="false" outlineLevel="0" collapsed="false">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ustomFormat="false" ht="15.75" hidden="false" customHeight="false" outlineLevel="0" collapsed="false">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ustomFormat="false" ht="15.75" hidden="false" customHeight="false" outlineLevel="0" collapsed="false">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ustomFormat="false" ht="15.75" hidden="false" customHeight="false" outlineLevel="0" collapsed="false">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ustomFormat="false" ht="15.75" hidden="false" customHeight="false" outlineLevel="0" collapsed="false">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ustomFormat="false" ht="15.75" hidden="false" customHeight="false" outlineLevel="0" collapsed="false">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ustomFormat="false" ht="15.75" hidden="false" customHeight="false" outlineLevel="0" collapsed="false">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ustomFormat="false" ht="15.75" hidden="false" customHeight="false" outlineLevel="0" collapsed="false">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ustomFormat="false" ht="15.75" hidden="false" customHeight="false" outlineLevel="0" collapsed="false">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ustomFormat="false" ht="15.75" hidden="false" customHeight="false" outlineLevel="0" collapsed="false">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ustomFormat="false" ht="15.75" hidden="false" customHeight="false" outlineLevel="0" collapsed="false">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ustomFormat="false" ht="15.75" hidden="false" customHeight="false" outlineLevel="0" collapsed="false">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ustomFormat="false" ht="15.75" hidden="false" customHeight="false" outlineLevel="0" collapsed="false">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ustomFormat="false" ht="15.75" hidden="false" customHeight="false" outlineLevel="0" collapsed="false">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ustomFormat="false" ht="15.75" hidden="false" customHeight="false" outlineLevel="0" collapsed="false">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ustomFormat="false" ht="15.75" hidden="false" customHeight="false" outlineLevel="0" collapsed="false">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ustomFormat="false" ht="15.75" hidden="false" customHeight="false" outlineLevel="0" collapsed="false">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ustomFormat="false" ht="15.75" hidden="false" customHeight="false" outlineLevel="0" collapsed="false">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ustomFormat="false" ht="15.75" hidden="false" customHeight="false" outlineLevel="0" collapsed="false">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ustomFormat="false" ht="15.75" hidden="false" customHeight="false" outlineLevel="0" collapsed="false">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ustomFormat="false" ht="15.75" hidden="false" customHeight="false" outlineLevel="0" collapsed="false">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ustomFormat="false" ht="15.75" hidden="false" customHeight="false" outlineLevel="0" collapsed="false">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ustomFormat="false" ht="15.75" hidden="false" customHeight="false" outlineLevel="0" collapsed="false">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ustomFormat="false" ht="15.75" hidden="false" customHeight="false" outlineLevel="0" collapsed="false">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ustomFormat="false" ht="15.75" hidden="false" customHeight="false" outlineLevel="0" collapsed="false">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ustomFormat="false" ht="15.75" hidden="false" customHeight="false" outlineLevel="0" collapsed="false">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ustomFormat="false" ht="15.75" hidden="false" customHeight="false" outlineLevel="0" collapsed="false">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ustomFormat="false" ht="15.75" hidden="false" customHeight="false" outlineLevel="0" collapsed="false">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ustomFormat="false" ht="15.75" hidden="false" customHeight="false" outlineLevel="0" collapsed="false">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ustomFormat="false" ht="15.75" hidden="false" customHeight="false" outlineLevel="0" collapsed="false">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ustomFormat="false" ht="15.75" hidden="false" customHeight="false" outlineLevel="0" collapsed="false">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ustomFormat="false" ht="15.75" hidden="false" customHeight="false" outlineLevel="0" collapsed="false">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ustomFormat="false" ht="15.75" hidden="false" customHeight="false" outlineLevel="0" collapsed="false">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ustomFormat="false" ht="15.75" hidden="false" customHeight="false" outlineLevel="0" collapsed="false">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ustomFormat="false" ht="15.75" hidden="false" customHeight="false" outlineLevel="0" collapsed="false">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ustomFormat="false" ht="15.75" hidden="false" customHeight="false" outlineLevel="0" collapsed="false">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ustomFormat="false" ht="15.75" hidden="false" customHeight="false" outlineLevel="0" collapsed="false">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ustomFormat="false" ht="15.75" hidden="false" customHeight="false" outlineLevel="0" collapsed="false">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ustomFormat="false" ht="15.75" hidden="false" customHeight="false" outlineLevel="0" collapsed="false">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ustomFormat="false" ht="15.75" hidden="false" customHeight="false" outlineLevel="0" collapsed="false">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ustomFormat="false" ht="15.75" hidden="false" customHeight="false" outlineLevel="0" collapsed="false">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ustomFormat="false" ht="15.75" hidden="false" customHeight="false" outlineLevel="0" collapsed="false">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ustomFormat="false" ht="15.75" hidden="false" customHeight="false" outlineLevel="0" collapsed="false">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ustomFormat="false" ht="15.75" hidden="false" customHeight="false" outlineLevel="0" collapsed="false">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ustomFormat="false" ht="15.75" hidden="false" customHeight="false" outlineLevel="0" collapsed="false">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ustomFormat="false" ht="15.75" hidden="false" customHeight="false" outlineLevel="0" collapsed="false">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ustomFormat="false" ht="15.75" hidden="false" customHeight="false" outlineLevel="0" collapsed="false">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ustomFormat="false" ht="15.75" hidden="false" customHeight="false" outlineLevel="0" collapsed="false">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ustomFormat="false" ht="15.75" hidden="false" customHeight="false" outlineLevel="0" collapsed="false">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ustomFormat="false" ht="15.75" hidden="false" customHeight="false" outlineLevel="0" collapsed="false">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ustomFormat="false" ht="15.75" hidden="false" customHeight="false" outlineLevel="0" collapsed="false">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ustomFormat="false" ht="15.75" hidden="false" customHeight="false" outlineLevel="0" collapsed="false">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ustomFormat="false" ht="15.75" hidden="false" customHeight="false" outlineLevel="0" collapsed="false">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ustomFormat="false" ht="15.75" hidden="false" customHeight="false" outlineLevel="0" collapsed="false">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ustomFormat="false" ht="15.75" hidden="false" customHeight="false" outlineLevel="0" collapsed="false">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ustomFormat="false" ht="15.75" hidden="false" customHeight="false" outlineLevel="0" collapsed="false">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ustomFormat="false" ht="15.75" hidden="false" customHeight="false" outlineLevel="0" collapsed="false">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ustomFormat="false" ht="15.75" hidden="false" customHeight="false" outlineLevel="0" collapsed="false">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ustomFormat="false" ht="15.75" hidden="false" customHeight="false" outlineLevel="0" collapsed="false">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ustomFormat="false" ht="15.75" hidden="false" customHeight="false" outlineLevel="0" collapsed="false">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ustomFormat="false" ht="15.75" hidden="false" customHeight="false" outlineLevel="0" collapsed="false">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ustomFormat="false" ht="15.75" hidden="false" customHeight="false" outlineLevel="0" collapsed="false">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ustomFormat="false" ht="15.75" hidden="false" customHeight="false" outlineLevel="0" collapsed="false">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ustomFormat="false" ht="15.75" hidden="false" customHeight="false" outlineLevel="0" collapsed="false">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ustomFormat="false" ht="15.75" hidden="false" customHeight="false" outlineLevel="0" collapsed="false">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ustomFormat="false" ht="15.75" hidden="false" customHeight="false" outlineLevel="0" collapsed="false">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ustomFormat="false" ht="15.75" hidden="false" customHeight="false" outlineLevel="0" collapsed="false">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ustomFormat="false" ht="15.75" hidden="false" customHeight="false" outlineLevel="0" collapsed="false">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ustomFormat="false" ht="15.75" hidden="false" customHeight="false" outlineLevel="0" collapsed="false">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ustomFormat="false" ht="15.75" hidden="false" customHeight="false" outlineLevel="0" collapsed="false">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ustomFormat="false" ht="15.75" hidden="false" customHeight="false" outlineLevel="0" collapsed="false">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ustomFormat="false" ht="15.75" hidden="false" customHeight="false" outlineLevel="0" collapsed="false">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ustomFormat="false" ht="15.75" hidden="false" customHeight="false" outlineLevel="0" collapsed="false">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ustomFormat="false" ht="15.75" hidden="false" customHeight="false" outlineLevel="0" collapsed="false">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ustomFormat="false" ht="15.75" hidden="false" customHeight="false" outlineLevel="0" collapsed="false">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ustomFormat="false" ht="15.75" hidden="false" customHeight="false" outlineLevel="0" collapsed="false">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ustomFormat="false" ht="15.75" hidden="false" customHeight="false" outlineLevel="0" collapsed="false">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ustomFormat="false" ht="15.75" hidden="false" customHeight="false" outlineLevel="0" collapsed="false">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ustomFormat="false" ht="15.75" hidden="false" customHeight="false" outlineLevel="0" collapsed="false">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ustomFormat="false" ht="15.75" hidden="false" customHeight="false" outlineLevel="0" collapsed="false">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ustomFormat="false" ht="15.75" hidden="false" customHeight="false" outlineLevel="0" collapsed="false">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ustomFormat="false" ht="15.75" hidden="false" customHeight="false" outlineLevel="0" collapsed="false">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ustomFormat="false" ht="15.75" hidden="false" customHeight="false" outlineLevel="0" collapsed="false">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ustomFormat="false" ht="15.75" hidden="false" customHeight="false" outlineLevel="0" collapsed="false">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ustomFormat="false" ht="15.75" hidden="false" customHeight="false" outlineLevel="0" collapsed="false">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ustomFormat="false" ht="15.75" hidden="false" customHeight="false" outlineLevel="0" collapsed="false">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ustomFormat="false" ht="15.75" hidden="false" customHeight="false" outlineLevel="0" collapsed="false">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ustomFormat="false" ht="15.75" hidden="false" customHeight="false" outlineLevel="0" collapsed="false">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ustomFormat="false" ht="15.75" hidden="false" customHeight="false" outlineLevel="0" collapsed="false">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ustomFormat="false" ht="15.75" hidden="false" customHeight="false" outlineLevel="0" collapsed="false">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ustomFormat="false" ht="15.75" hidden="false" customHeight="false" outlineLevel="0" collapsed="false">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ustomFormat="false" ht="15.75" hidden="false" customHeight="false" outlineLevel="0" collapsed="false">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ustomFormat="false" ht="15.75" hidden="false" customHeight="false" outlineLevel="0" collapsed="false">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ustomFormat="false" ht="15.75" hidden="false" customHeight="false" outlineLevel="0" collapsed="false">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ustomFormat="false" ht="15.75" hidden="false" customHeight="false" outlineLevel="0" collapsed="false">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ustomFormat="false" ht="15.75" hidden="false" customHeight="false" outlineLevel="0" collapsed="false">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ustomFormat="false" ht="15.75" hidden="false" customHeight="false" outlineLevel="0" collapsed="false">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ustomFormat="false" ht="15.75" hidden="false" customHeight="false" outlineLevel="0" collapsed="false">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ustomFormat="false" ht="15.75" hidden="false" customHeight="false" outlineLevel="0" collapsed="false">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ustomFormat="false" ht="15.75" hidden="false" customHeight="false" outlineLevel="0" collapsed="false">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ustomFormat="false" ht="15.75" hidden="false" customHeight="false" outlineLevel="0" collapsed="false">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ustomFormat="false" ht="15.75" hidden="false" customHeight="false" outlineLevel="0" collapsed="false">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ustomFormat="false" ht="15.75" hidden="false" customHeight="false" outlineLevel="0" collapsed="false">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ustomFormat="false" ht="15.75" hidden="false" customHeight="false" outlineLevel="0" collapsed="false">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ustomFormat="false" ht="15.75" hidden="false" customHeight="false" outlineLevel="0" collapsed="false">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ustomFormat="false" ht="15.75" hidden="false" customHeight="false" outlineLevel="0" collapsed="false">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ustomFormat="false" ht="15.75" hidden="false" customHeight="false" outlineLevel="0" collapsed="false">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ustomFormat="false" ht="15.75" hidden="false" customHeight="false" outlineLevel="0" collapsed="false">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ustomFormat="false" ht="15.75" hidden="false" customHeight="false" outlineLevel="0" collapsed="false">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ustomFormat="false" ht="15.75" hidden="false" customHeight="false" outlineLevel="0" collapsed="false">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ustomFormat="false" ht="15.75" hidden="false" customHeight="false" outlineLevel="0" collapsed="false">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ustomFormat="false" ht="15.75" hidden="false" customHeight="false" outlineLevel="0" collapsed="false">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ustomFormat="false" ht="15.75" hidden="false" customHeight="false" outlineLevel="0" collapsed="false">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ustomFormat="false" ht="15.75" hidden="false" customHeight="false" outlineLevel="0" collapsed="false">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ustomFormat="false" ht="15.75" hidden="false" customHeight="false" outlineLevel="0" collapsed="false">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ustomFormat="false" ht="15.75" hidden="false" customHeight="false" outlineLevel="0" collapsed="false">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ustomFormat="false" ht="15.75" hidden="false" customHeight="false" outlineLevel="0" collapsed="false">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ustomFormat="false" ht="15.75" hidden="false" customHeight="false" outlineLevel="0" collapsed="false">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ustomFormat="false" ht="15.75" hidden="false" customHeight="false" outlineLevel="0" collapsed="false">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ustomFormat="false" ht="15.75" hidden="false" customHeight="false" outlineLevel="0" collapsed="false">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ustomFormat="false" ht="15.75" hidden="false" customHeight="false" outlineLevel="0" collapsed="false">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ustomFormat="false" ht="15.75" hidden="false" customHeight="false" outlineLevel="0" collapsed="false">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ustomFormat="false" ht="15.75" hidden="false" customHeight="false" outlineLevel="0" collapsed="false">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ustomFormat="false" ht="15.75" hidden="false" customHeight="false" outlineLevel="0" collapsed="false">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ustomFormat="false" ht="15.75" hidden="false" customHeight="false" outlineLevel="0" collapsed="false">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ustomFormat="false" ht="15.75" hidden="false" customHeight="false" outlineLevel="0" collapsed="false">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ustomFormat="false" ht="15.75" hidden="false" customHeight="false" outlineLevel="0" collapsed="false">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ustomFormat="false" ht="15.75" hidden="false" customHeight="false" outlineLevel="0" collapsed="false">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ustomFormat="false" ht="15.75" hidden="false" customHeight="false" outlineLevel="0" collapsed="false">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ustomFormat="false" ht="15.75" hidden="false" customHeight="false" outlineLevel="0" collapsed="false">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ustomFormat="false" ht="15.75" hidden="false" customHeight="false" outlineLevel="0" collapsed="false">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ustomFormat="false" ht="15.75" hidden="false" customHeight="false" outlineLevel="0" collapsed="false">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ustomFormat="false" ht="15.75" hidden="false" customHeight="false" outlineLevel="0" collapsed="false">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ustomFormat="false" ht="15.75" hidden="false" customHeight="false" outlineLevel="0" collapsed="false">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ustomFormat="false" ht="15.75" hidden="false" customHeight="false" outlineLevel="0" collapsed="false">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ustomFormat="false" ht="15.75" hidden="false" customHeight="false" outlineLevel="0" collapsed="false">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ustomFormat="false" ht="15.75" hidden="false" customHeight="false" outlineLevel="0" collapsed="false">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ustomFormat="false" ht="15.75" hidden="false" customHeight="false" outlineLevel="0" collapsed="false">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ustomFormat="false" ht="15.75" hidden="false" customHeight="false" outlineLevel="0" collapsed="false">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ustomFormat="false" ht="15.75" hidden="false" customHeight="false" outlineLevel="0" collapsed="false">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ustomFormat="false" ht="15.75" hidden="false" customHeight="false" outlineLevel="0" collapsed="false">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ustomFormat="false" ht="15.75" hidden="false" customHeight="false" outlineLevel="0" collapsed="false">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ustomFormat="false" ht="15.75" hidden="false" customHeight="false" outlineLevel="0" collapsed="false">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ustomFormat="false" ht="15.75" hidden="false" customHeight="false" outlineLevel="0" collapsed="false">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ustomFormat="false" ht="15.75" hidden="false" customHeight="false" outlineLevel="0" collapsed="false">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ustomFormat="false" ht="15.75" hidden="false" customHeight="false" outlineLevel="0" collapsed="false">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ustomFormat="false" ht="15.75" hidden="false" customHeight="false" outlineLevel="0" collapsed="false">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ustomFormat="false" ht="15.75" hidden="false" customHeight="false" outlineLevel="0" collapsed="false">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ustomFormat="false" ht="15.75" hidden="false" customHeight="false" outlineLevel="0" collapsed="false">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ustomFormat="false" ht="15.75" hidden="false" customHeight="false" outlineLevel="0" collapsed="false">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ustomFormat="false" ht="15.75" hidden="false" customHeight="false" outlineLevel="0" collapsed="false">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ustomFormat="false" ht="15.75" hidden="false" customHeight="false" outlineLevel="0" collapsed="false">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ustomFormat="false" ht="15.75" hidden="false" customHeight="false" outlineLevel="0" collapsed="false">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ustomFormat="false" ht="15.75" hidden="false" customHeight="false" outlineLevel="0" collapsed="false">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ustomFormat="false" ht="15.75" hidden="false" customHeight="false" outlineLevel="0" collapsed="false">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ustomFormat="false" ht="15.75" hidden="false" customHeight="false" outlineLevel="0" collapsed="false">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ustomFormat="false" ht="15.75" hidden="false" customHeight="false" outlineLevel="0" collapsed="false">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ustomFormat="false" ht="15.75" hidden="false" customHeight="false" outlineLevel="0" collapsed="false">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ustomFormat="false" ht="15.75" hidden="false" customHeight="false" outlineLevel="0" collapsed="false">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ustomFormat="false" ht="15.75" hidden="false" customHeight="false" outlineLevel="0" collapsed="false">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ustomFormat="false" ht="15.75" hidden="false" customHeight="false" outlineLevel="0" collapsed="false">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ustomFormat="false" ht="15.75" hidden="false" customHeight="false" outlineLevel="0" collapsed="false">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ustomFormat="false" ht="15.75" hidden="false" customHeight="false" outlineLevel="0" collapsed="false">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ustomFormat="false" ht="15.75" hidden="false" customHeight="false" outlineLevel="0" collapsed="false">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ustomFormat="false" ht="15.75" hidden="false" customHeight="false" outlineLevel="0" collapsed="false">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ustomFormat="false" ht="15.75" hidden="false" customHeight="false" outlineLevel="0" collapsed="false">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ustomFormat="false" ht="15.75" hidden="false" customHeight="false" outlineLevel="0" collapsed="false">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ustomFormat="false" ht="15.75" hidden="false" customHeight="false" outlineLevel="0" collapsed="false">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ustomFormat="false" ht="15.75" hidden="false" customHeight="false" outlineLevel="0" collapsed="false">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ustomFormat="false" ht="15.75" hidden="false" customHeight="false" outlineLevel="0" collapsed="false">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ustomFormat="false" ht="15.75" hidden="false" customHeight="false" outlineLevel="0" collapsed="false">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ustomFormat="false" ht="15.75" hidden="false" customHeight="false" outlineLevel="0" collapsed="false">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ustomFormat="false" ht="15.75" hidden="false" customHeight="false" outlineLevel="0" collapsed="false">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ustomFormat="false" ht="15.75" hidden="false" customHeight="false" outlineLevel="0" collapsed="false">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ustomFormat="false" ht="15.75" hidden="false" customHeight="false" outlineLevel="0" collapsed="false">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ustomFormat="false" ht="15.75" hidden="false" customHeight="false" outlineLevel="0" collapsed="false">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ustomFormat="false" ht="15.75" hidden="false" customHeight="false" outlineLevel="0" collapsed="false">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ustomFormat="false" ht="15.75" hidden="false" customHeight="false" outlineLevel="0" collapsed="false">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ustomFormat="false" ht="15.75" hidden="false" customHeight="false" outlineLevel="0" collapsed="false">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ustomFormat="false" ht="15.75" hidden="false" customHeight="false" outlineLevel="0" collapsed="false">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ustomFormat="false" ht="15.75" hidden="false" customHeight="false" outlineLevel="0" collapsed="false">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ustomFormat="false" ht="15.75" hidden="false" customHeight="false" outlineLevel="0" collapsed="false">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ustomFormat="false" ht="15.75" hidden="false" customHeight="false" outlineLevel="0" collapsed="false">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ustomFormat="false" ht="15.75" hidden="false" customHeight="false" outlineLevel="0" collapsed="false">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ustomFormat="false" ht="15.75" hidden="false" customHeight="false" outlineLevel="0" collapsed="false">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ustomFormat="false" ht="15.75" hidden="false" customHeight="false" outlineLevel="0" collapsed="false">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ustomFormat="false" ht="15.75" hidden="false" customHeight="false" outlineLevel="0" collapsed="false">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ustomFormat="false" ht="15.75" hidden="false" customHeight="false" outlineLevel="0" collapsed="false">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ustomFormat="false" ht="15.75" hidden="false" customHeight="false" outlineLevel="0" collapsed="false">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ustomFormat="false" ht="15.75" hidden="false" customHeight="false" outlineLevel="0" collapsed="false">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ustomFormat="false" ht="15.75" hidden="false" customHeight="false" outlineLevel="0" collapsed="false">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ustomFormat="false" ht="15.75" hidden="false" customHeight="false" outlineLevel="0" collapsed="false">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ustomFormat="false" ht="15.75" hidden="false" customHeight="false" outlineLevel="0" collapsed="false">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ustomFormat="false" ht="15.75" hidden="false" customHeight="false" outlineLevel="0" collapsed="false">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ustomFormat="false" ht="15.75" hidden="false" customHeight="false" outlineLevel="0" collapsed="false">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ustomFormat="false" ht="15.75" hidden="false" customHeight="false" outlineLevel="0" collapsed="false">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ustomFormat="false" ht="15.75" hidden="false" customHeight="false" outlineLevel="0" collapsed="false">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ustomFormat="false" ht="15.75" hidden="false" customHeight="false" outlineLevel="0" collapsed="false">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ustomFormat="false" ht="15.75" hidden="false" customHeight="false" outlineLevel="0" collapsed="false">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ustomFormat="false" ht="15.75" hidden="false" customHeight="false" outlineLevel="0" collapsed="false">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ustomFormat="false" ht="15.75" hidden="false" customHeight="false" outlineLevel="0" collapsed="false">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ustomFormat="false" ht="15.75" hidden="false" customHeight="false" outlineLevel="0" collapsed="false">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ustomFormat="false" ht="15.75" hidden="false" customHeight="false" outlineLevel="0" collapsed="false">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ustomFormat="false" ht="15.75" hidden="false" customHeight="false" outlineLevel="0" collapsed="false">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ustomFormat="false" ht="15.75" hidden="false" customHeight="false" outlineLevel="0" collapsed="false">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ustomFormat="false" ht="15.75" hidden="false" customHeight="false" outlineLevel="0" collapsed="false">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ustomFormat="false" ht="15.75" hidden="false" customHeight="false" outlineLevel="0" collapsed="false">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ustomFormat="false" ht="15.75" hidden="false" customHeight="false" outlineLevel="0" collapsed="false">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ustomFormat="false" ht="15.75" hidden="false" customHeight="false" outlineLevel="0" collapsed="false">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ustomFormat="false" ht="15.75" hidden="false" customHeight="false" outlineLevel="0" collapsed="false">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ustomFormat="false" ht="15.75" hidden="false" customHeight="false" outlineLevel="0" collapsed="false">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ustomFormat="false" ht="15.75" hidden="false" customHeight="false" outlineLevel="0" collapsed="false">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ustomFormat="false" ht="15.75" hidden="false" customHeight="false" outlineLevel="0" collapsed="false">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ustomFormat="false" ht="15.75" hidden="false" customHeight="false" outlineLevel="0" collapsed="false">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ustomFormat="false" ht="15.75" hidden="false" customHeight="false" outlineLevel="0" collapsed="false">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ustomFormat="false" ht="15.75" hidden="false" customHeight="false" outlineLevel="0" collapsed="false">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ustomFormat="false" ht="15.75" hidden="false" customHeight="false" outlineLevel="0" collapsed="false">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ustomFormat="false" ht="15.75" hidden="false" customHeight="false" outlineLevel="0" collapsed="false">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ustomFormat="false" ht="15.75" hidden="false" customHeight="false" outlineLevel="0" collapsed="false">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ustomFormat="false" ht="15.75" hidden="false" customHeight="false" outlineLevel="0" collapsed="false">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ustomFormat="false" ht="15.75" hidden="false" customHeight="false" outlineLevel="0" collapsed="false">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ustomFormat="false" ht="15.75" hidden="false" customHeight="false" outlineLevel="0" collapsed="false">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ustomFormat="false" ht="15.75" hidden="false" customHeight="false" outlineLevel="0" collapsed="false">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ustomFormat="false" ht="15.75" hidden="false" customHeight="false" outlineLevel="0" collapsed="false">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ustomFormat="false" ht="15.75" hidden="false" customHeight="false" outlineLevel="0" collapsed="false">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ustomFormat="false" ht="15.75" hidden="false" customHeight="false" outlineLevel="0" collapsed="false">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ustomFormat="false" ht="15.75" hidden="false" customHeight="false" outlineLevel="0" collapsed="false">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ustomFormat="false" ht="15.75" hidden="false" customHeight="false" outlineLevel="0" collapsed="false">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ustomFormat="false" ht="15.75" hidden="false" customHeight="false" outlineLevel="0" collapsed="false">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ustomFormat="false" ht="15.75" hidden="false" customHeight="false" outlineLevel="0" collapsed="false">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ustomFormat="false" ht="15.75" hidden="false" customHeight="false" outlineLevel="0" collapsed="false">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ustomFormat="false" ht="15.75" hidden="false" customHeight="false" outlineLevel="0" collapsed="false">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ustomFormat="false" ht="15.75" hidden="false" customHeight="false" outlineLevel="0" collapsed="false">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ustomFormat="false" ht="15.75" hidden="false" customHeight="false" outlineLevel="0" collapsed="false">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ustomFormat="false" ht="15.75" hidden="false" customHeight="false" outlineLevel="0" collapsed="false">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ustomFormat="false" ht="15.75" hidden="false" customHeight="false" outlineLevel="0" collapsed="false">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ustomFormat="false" ht="15.75" hidden="false" customHeight="false" outlineLevel="0" collapsed="false">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ustomFormat="false" ht="15.75" hidden="false" customHeight="false" outlineLevel="0" collapsed="false">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ustomFormat="false" ht="15.75" hidden="false" customHeight="false" outlineLevel="0" collapsed="false">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ustomFormat="false" ht="15.75" hidden="false" customHeight="false" outlineLevel="0" collapsed="false">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ustomFormat="false" ht="15.75" hidden="false" customHeight="false" outlineLevel="0" collapsed="false">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ustomFormat="false" ht="15.75" hidden="false" customHeight="false" outlineLevel="0" collapsed="false">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ustomFormat="false" ht="15.75" hidden="false" customHeight="false" outlineLevel="0" collapsed="false">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ustomFormat="false" ht="15.75" hidden="false" customHeight="false" outlineLevel="0" collapsed="false">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ustomFormat="false" ht="15.75" hidden="false" customHeight="false" outlineLevel="0" collapsed="false">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ustomFormat="false" ht="15.75" hidden="false" customHeight="false" outlineLevel="0" collapsed="false">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ustomFormat="false" ht="15.75" hidden="false" customHeight="false" outlineLevel="0" collapsed="false">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ustomFormat="false" ht="15.75" hidden="false" customHeight="false" outlineLevel="0" collapsed="false">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ustomFormat="false" ht="15.75" hidden="false" customHeight="false" outlineLevel="0" collapsed="false">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ustomFormat="false" ht="15.75" hidden="false" customHeight="false" outlineLevel="0" collapsed="false">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ustomFormat="false" ht="15.75" hidden="false" customHeight="false" outlineLevel="0" collapsed="false">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ustomFormat="false" ht="15.75" hidden="false" customHeight="false" outlineLevel="0" collapsed="false">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ustomFormat="false" ht="15.75" hidden="false" customHeight="false" outlineLevel="0" collapsed="false">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ustomFormat="false" ht="15.75" hidden="false" customHeight="false" outlineLevel="0" collapsed="false">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ustomFormat="false" ht="15.75" hidden="false" customHeight="false" outlineLevel="0" collapsed="false">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ustomFormat="false" ht="15.75" hidden="false" customHeight="false" outlineLevel="0" collapsed="false">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ustomFormat="false" ht="15.75" hidden="false" customHeight="false" outlineLevel="0" collapsed="false">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ustomFormat="false" ht="15.75" hidden="false" customHeight="false" outlineLevel="0" collapsed="false">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ustomFormat="false" ht="15.75" hidden="false" customHeight="false" outlineLevel="0" collapsed="false">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ustomFormat="false" ht="15.75" hidden="false" customHeight="false" outlineLevel="0" collapsed="false">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ustomFormat="false" ht="15.75" hidden="false" customHeight="false" outlineLevel="0" collapsed="false">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ustomFormat="false" ht="15.75" hidden="false" customHeight="false" outlineLevel="0" collapsed="false">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ustomFormat="false" ht="15.75" hidden="false" customHeight="false" outlineLevel="0" collapsed="false">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ustomFormat="false" ht="15.75" hidden="false" customHeight="false" outlineLevel="0" collapsed="false">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ustomFormat="false" ht="15.75" hidden="false" customHeight="false" outlineLevel="0" collapsed="false">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ustomFormat="false" ht="15.75" hidden="false" customHeight="false" outlineLevel="0" collapsed="false">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ustomFormat="false" ht="15.75" hidden="false" customHeight="false" outlineLevel="0" collapsed="false">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ustomFormat="false" ht="15.75" hidden="false" customHeight="false" outlineLevel="0" collapsed="false">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ustomFormat="false" ht="15.75" hidden="false" customHeight="false" outlineLevel="0" collapsed="false">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ustomFormat="false" ht="15.75" hidden="false" customHeight="false" outlineLevel="0" collapsed="false">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ustomFormat="false" ht="15.75" hidden="false" customHeight="false" outlineLevel="0" collapsed="false">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ustomFormat="false" ht="15.75" hidden="false" customHeight="false" outlineLevel="0" collapsed="false">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ustomFormat="false" ht="15.75" hidden="false" customHeight="false" outlineLevel="0" collapsed="false">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ustomFormat="false" ht="15.75" hidden="false" customHeight="false" outlineLevel="0" collapsed="false">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ustomFormat="false" ht="15.75" hidden="false" customHeight="false" outlineLevel="0" collapsed="false">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ustomFormat="false" ht="15.75" hidden="false" customHeight="false" outlineLevel="0" collapsed="false">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ustomFormat="false" ht="15.75" hidden="false" customHeight="false" outlineLevel="0" collapsed="false">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ustomFormat="false" ht="15.75" hidden="false" customHeight="false" outlineLevel="0" collapsed="false">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ustomFormat="false" ht="15.75" hidden="false" customHeight="false" outlineLevel="0" collapsed="false">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ustomFormat="false" ht="15.75" hidden="false" customHeight="false" outlineLevel="0" collapsed="false">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ustomFormat="false" ht="15.75" hidden="false" customHeight="false" outlineLevel="0" collapsed="false">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ustomFormat="false" ht="15.75" hidden="false" customHeight="false" outlineLevel="0" collapsed="false">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ustomFormat="false" ht="15.75" hidden="false" customHeight="false" outlineLevel="0" collapsed="false">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ustomFormat="false" ht="15.75" hidden="false" customHeight="false" outlineLevel="0" collapsed="false">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ustomFormat="false" ht="15.75" hidden="false" customHeight="false" outlineLevel="0" collapsed="false">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ustomFormat="false" ht="15.75" hidden="false" customHeight="false" outlineLevel="0" collapsed="false">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ustomFormat="false" ht="15.75" hidden="false" customHeight="false" outlineLevel="0" collapsed="false">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ustomFormat="false" ht="15.75" hidden="false" customHeight="false" outlineLevel="0" collapsed="false">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ustomFormat="false" ht="15.75" hidden="false" customHeight="false" outlineLevel="0" collapsed="false">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ustomFormat="false" ht="15.75" hidden="false" customHeight="false" outlineLevel="0" collapsed="false">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ustomFormat="false" ht="15.75" hidden="false" customHeight="false" outlineLevel="0" collapsed="false">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ustomFormat="false" ht="15.75" hidden="false" customHeight="false" outlineLevel="0" collapsed="false">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ustomFormat="false" ht="15.75" hidden="false" customHeight="false" outlineLevel="0" collapsed="false">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ustomFormat="false" ht="15.75" hidden="false" customHeight="false" outlineLevel="0" collapsed="false">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ustomFormat="false" ht="15.75" hidden="false" customHeight="false" outlineLevel="0" collapsed="false">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ustomFormat="false" ht="15.75" hidden="false" customHeight="false" outlineLevel="0" collapsed="false">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ustomFormat="false" ht="15.75" hidden="false" customHeight="false" outlineLevel="0" collapsed="false">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ustomFormat="false" ht="15.75" hidden="false" customHeight="false" outlineLevel="0" collapsed="false">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ustomFormat="false" ht="15.75" hidden="false" customHeight="false" outlineLevel="0" collapsed="false">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ustomFormat="false" ht="15.75" hidden="false" customHeight="false" outlineLevel="0" collapsed="false">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ustomFormat="false" ht="15.75" hidden="false" customHeight="false" outlineLevel="0" collapsed="false">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ustomFormat="false" ht="15.75" hidden="false" customHeight="false" outlineLevel="0" collapsed="false">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ustomFormat="false" ht="15.75" hidden="false" customHeight="false" outlineLevel="0" collapsed="false">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ustomFormat="false" ht="15.75" hidden="false" customHeight="false" outlineLevel="0" collapsed="false">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ustomFormat="false" ht="15.75" hidden="false" customHeight="false" outlineLevel="0" collapsed="false">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ustomFormat="false" ht="15.75" hidden="false" customHeight="false" outlineLevel="0" collapsed="false">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ustomFormat="false" ht="15.75" hidden="false" customHeight="false" outlineLevel="0" collapsed="false">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ustomFormat="false" ht="15.75" hidden="false" customHeight="false" outlineLevel="0" collapsed="false">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ustomFormat="false" ht="15.75" hidden="false" customHeight="false" outlineLevel="0" collapsed="false">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ustomFormat="false" ht="15.75" hidden="false" customHeight="false" outlineLevel="0" collapsed="false">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ustomFormat="false" ht="15.75" hidden="false" customHeight="false" outlineLevel="0" collapsed="false">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ustomFormat="false" ht="15.75" hidden="false" customHeight="false" outlineLevel="0" collapsed="false">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ustomFormat="false" ht="15.75" hidden="false" customHeight="false" outlineLevel="0" collapsed="false">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ustomFormat="false" ht="15.75" hidden="false" customHeight="false" outlineLevel="0" collapsed="false">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ustomFormat="false" ht="15.75" hidden="false" customHeight="false" outlineLevel="0" collapsed="false">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ustomFormat="false" ht="15.75" hidden="false" customHeight="false" outlineLevel="0" collapsed="false">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ustomFormat="false" ht="15.75" hidden="false" customHeight="false" outlineLevel="0" collapsed="false">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ustomFormat="false" ht="15.75" hidden="false" customHeight="false" outlineLevel="0" collapsed="false">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ustomFormat="false" ht="15.75" hidden="false" customHeight="false" outlineLevel="0" collapsed="false">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ustomFormat="false" ht="15.75" hidden="false" customHeight="false" outlineLevel="0" collapsed="false">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ustomFormat="false" ht="15.75" hidden="false" customHeight="false" outlineLevel="0" collapsed="false">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ustomFormat="false" ht="15.75" hidden="false" customHeight="false" outlineLevel="0" collapsed="false">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ustomFormat="false" ht="15.75" hidden="false" customHeight="false" outlineLevel="0" collapsed="false">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ustomFormat="false" ht="15.75" hidden="false" customHeight="false" outlineLevel="0" collapsed="false">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ustomFormat="false" ht="15.75" hidden="false" customHeight="false" outlineLevel="0" collapsed="false">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ustomFormat="false" ht="15.75" hidden="false" customHeight="false" outlineLevel="0" collapsed="false">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ustomFormat="false" ht="15.75" hidden="false" customHeight="false" outlineLevel="0" collapsed="false">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ustomFormat="false" ht="15.75" hidden="false" customHeight="false" outlineLevel="0" collapsed="false">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ustomFormat="false" ht="15.75" hidden="false" customHeight="false" outlineLevel="0" collapsed="false">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ustomFormat="false" ht="15.75" hidden="false" customHeight="false" outlineLevel="0" collapsed="false">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ustomFormat="false" ht="15.75" hidden="false" customHeight="false" outlineLevel="0" collapsed="false">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ustomFormat="false" ht="15.75" hidden="false" customHeight="false" outlineLevel="0" collapsed="false">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ustomFormat="false" ht="15.75" hidden="false" customHeight="false" outlineLevel="0" collapsed="false">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ustomFormat="false" ht="15.75" hidden="false" customHeight="false" outlineLevel="0" collapsed="false">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ustomFormat="false" ht="15.75" hidden="false" customHeight="false" outlineLevel="0" collapsed="false">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ustomFormat="false" ht="15.75" hidden="false" customHeight="false" outlineLevel="0" collapsed="false">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ustomFormat="false" ht="15.75" hidden="false" customHeight="false" outlineLevel="0" collapsed="false">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ustomFormat="false" ht="15.75" hidden="false" customHeight="false" outlineLevel="0" collapsed="false">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ustomFormat="false" ht="15.75" hidden="false" customHeight="false" outlineLevel="0" collapsed="false">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ustomFormat="false" ht="15.75" hidden="false" customHeight="false" outlineLevel="0" collapsed="false">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ustomFormat="false" ht="15.75" hidden="false" customHeight="false" outlineLevel="0" collapsed="false">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ustomFormat="false" ht="15.75" hidden="false" customHeight="false" outlineLevel="0" collapsed="false">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ustomFormat="false" ht="15.75" hidden="false" customHeight="false" outlineLevel="0" collapsed="false">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ustomFormat="false" ht="15.75" hidden="false" customHeight="false" outlineLevel="0" collapsed="false">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ustomFormat="false" ht="15.75" hidden="false" customHeight="false" outlineLevel="0" collapsed="false">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ustomFormat="false" ht="15.75" hidden="false" customHeight="false" outlineLevel="0" collapsed="false">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ustomFormat="false" ht="15.75" hidden="false" customHeight="false" outlineLevel="0" collapsed="false">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ustomFormat="false" ht="15.75" hidden="false" customHeight="false" outlineLevel="0" collapsed="false">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ustomFormat="false" ht="15.75" hidden="false" customHeight="false" outlineLevel="0" collapsed="false">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ustomFormat="false" ht="15.75" hidden="false" customHeight="false" outlineLevel="0" collapsed="false">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ustomFormat="false" ht="15.75" hidden="false" customHeight="false" outlineLevel="0" collapsed="false">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ustomFormat="false" ht="15.75" hidden="false" customHeight="false" outlineLevel="0" collapsed="false">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ustomFormat="false" ht="15.75" hidden="false" customHeight="false" outlineLevel="0" collapsed="false">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ustomFormat="false" ht="15.75" hidden="false" customHeight="false" outlineLevel="0" collapsed="false">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ustomFormat="false" ht="15.75" hidden="false" customHeight="false" outlineLevel="0" collapsed="false">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ustomFormat="false" ht="15.75" hidden="false" customHeight="false" outlineLevel="0" collapsed="false">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ustomFormat="false" ht="15.75" hidden="false" customHeight="false" outlineLevel="0" collapsed="false">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ustomFormat="false" ht="15.75" hidden="false" customHeight="false" outlineLevel="0" collapsed="false">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ustomFormat="false" ht="15.75" hidden="false" customHeight="false" outlineLevel="0" collapsed="false">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ustomFormat="false" ht="15.75" hidden="false" customHeight="false" outlineLevel="0" collapsed="false">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ustomFormat="false" ht="15.75" hidden="false" customHeight="false" outlineLevel="0" collapsed="false">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ustomFormat="false" ht="15.75" hidden="false" customHeight="false" outlineLevel="0" collapsed="false">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ustomFormat="false" ht="15.75" hidden="false" customHeight="false" outlineLevel="0" collapsed="false">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ustomFormat="false" ht="15.75" hidden="false" customHeight="false" outlineLevel="0" collapsed="false">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ustomFormat="false" ht="15.75" hidden="false" customHeight="false" outlineLevel="0" collapsed="false">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ustomFormat="false" ht="15.75" hidden="false" customHeight="false" outlineLevel="0" collapsed="false">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ustomFormat="false" ht="15.75" hidden="false" customHeight="false" outlineLevel="0" collapsed="false">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ustomFormat="false" ht="15.75" hidden="false" customHeight="false" outlineLevel="0" collapsed="false">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ustomFormat="false" ht="15.75" hidden="false" customHeight="false" outlineLevel="0" collapsed="false">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ustomFormat="false" ht="15.75" hidden="false" customHeight="false" outlineLevel="0" collapsed="false">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ustomFormat="false" ht="15.75" hidden="false" customHeight="false" outlineLevel="0" collapsed="false">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ustomFormat="false" ht="15.75" hidden="false" customHeight="false" outlineLevel="0" collapsed="false">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ustomFormat="false" ht="15.75" hidden="false" customHeight="false" outlineLevel="0" collapsed="false">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ustomFormat="false" ht="15.75" hidden="false" customHeight="false" outlineLevel="0" collapsed="false">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ustomFormat="false" ht="15.75" hidden="false" customHeight="false" outlineLevel="0" collapsed="false">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ustomFormat="false" ht="15.75" hidden="false" customHeight="false" outlineLevel="0" collapsed="false">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ustomFormat="false" ht="15.75" hidden="false" customHeight="false" outlineLevel="0" collapsed="false">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ustomFormat="false" ht="15.75" hidden="false" customHeight="false" outlineLevel="0" collapsed="false">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ustomFormat="false" ht="15.75" hidden="false" customHeight="false" outlineLevel="0" collapsed="false">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ustomFormat="false" ht="15.75" hidden="false" customHeight="false" outlineLevel="0" collapsed="false">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ustomFormat="false" ht="15.75" hidden="false" customHeight="false" outlineLevel="0" collapsed="false">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ustomFormat="false" ht="15.75" hidden="false" customHeight="false" outlineLevel="0" collapsed="false">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ustomFormat="false" ht="15.75" hidden="false" customHeight="false" outlineLevel="0" collapsed="false">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ustomFormat="false" ht="15.75" hidden="false" customHeight="false" outlineLevel="0" collapsed="false">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ustomFormat="false" ht="15.75" hidden="false" customHeight="false" outlineLevel="0" collapsed="false">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ustomFormat="false" ht="15.75" hidden="false" customHeight="false" outlineLevel="0" collapsed="false">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ustomFormat="false" ht="15.75" hidden="false" customHeight="false" outlineLevel="0" collapsed="false">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ustomFormat="false" ht="15.75" hidden="false" customHeight="false" outlineLevel="0" collapsed="false">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ustomFormat="false" ht="15.75" hidden="false" customHeight="false" outlineLevel="0" collapsed="false">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ustomFormat="false" ht="15.75" hidden="false" customHeight="false" outlineLevel="0" collapsed="false">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ustomFormat="false" ht="15.75" hidden="false" customHeight="false" outlineLevel="0" collapsed="false">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ustomFormat="false" ht="15.75" hidden="false" customHeight="false" outlineLevel="0" collapsed="false">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ustomFormat="false" ht="15.75" hidden="false" customHeight="false" outlineLevel="0" collapsed="false">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ustomFormat="false" ht="15.75" hidden="false" customHeight="false" outlineLevel="0" collapsed="false">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ustomFormat="false" ht="15.75" hidden="false" customHeight="false" outlineLevel="0" collapsed="false">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ustomFormat="false" ht="15.75" hidden="false" customHeight="false" outlineLevel="0" collapsed="false">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ustomFormat="false" ht="15.75" hidden="false" customHeight="false" outlineLevel="0" collapsed="false">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ustomFormat="false" ht="15.75" hidden="false" customHeight="false" outlineLevel="0" collapsed="false">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ustomFormat="false" ht="15.75" hidden="false" customHeight="false" outlineLevel="0" collapsed="false">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ustomFormat="false" ht="15.75" hidden="false" customHeight="false" outlineLevel="0" collapsed="false">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ustomFormat="false" ht="15.75" hidden="false" customHeight="false" outlineLevel="0" collapsed="false">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ustomFormat="false" ht="15.75" hidden="false" customHeight="false" outlineLevel="0" collapsed="false">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ustomFormat="false" ht="15.75" hidden="false" customHeight="false" outlineLevel="0" collapsed="false">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ustomFormat="false" ht="15.75" hidden="false" customHeight="false" outlineLevel="0" collapsed="false">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ustomFormat="false" ht="15.75" hidden="false" customHeight="false" outlineLevel="0" collapsed="false">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ustomFormat="false" ht="15.75" hidden="false" customHeight="false" outlineLevel="0" collapsed="false">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ustomFormat="false" ht="15.75" hidden="false" customHeight="false" outlineLevel="0" collapsed="false">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ustomFormat="false" ht="15.75" hidden="false" customHeight="false" outlineLevel="0" collapsed="false">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ustomFormat="false" ht="15.75" hidden="false" customHeight="false" outlineLevel="0" collapsed="false">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ustomFormat="false" ht="15.75" hidden="false" customHeight="false" outlineLevel="0" collapsed="false">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ustomFormat="false" ht="15.75" hidden="false" customHeight="false" outlineLevel="0" collapsed="false">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ustomFormat="false" ht="15.75" hidden="false" customHeight="false" outlineLevel="0" collapsed="false">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ustomFormat="false" ht="15.75" hidden="false" customHeight="false" outlineLevel="0" collapsed="false">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ustomFormat="false" ht="15.75" hidden="false" customHeight="false" outlineLevel="0" collapsed="false">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ustomFormat="false" ht="15.75" hidden="false" customHeight="false" outlineLevel="0" collapsed="false">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ustomFormat="false" ht="15.75" hidden="false" customHeight="false" outlineLevel="0" collapsed="false">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ustomFormat="false" ht="15.75" hidden="false" customHeight="false" outlineLevel="0" collapsed="false">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ustomFormat="false" ht="15.75" hidden="false" customHeight="false" outlineLevel="0" collapsed="false">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ustomFormat="false" ht="15.75" hidden="false" customHeight="false" outlineLevel="0" collapsed="false">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ustomFormat="false" ht="15.75" hidden="false" customHeight="false" outlineLevel="0" collapsed="false">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ustomFormat="false" ht="15.75" hidden="false" customHeight="false" outlineLevel="0" collapsed="false">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ustomFormat="false" ht="15.75" hidden="false" customHeight="false" outlineLevel="0" collapsed="false">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ustomFormat="false" ht="15.75" hidden="false" customHeight="false" outlineLevel="0" collapsed="false">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ustomFormat="false" ht="15.75" hidden="false" customHeight="false" outlineLevel="0" collapsed="false">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ustomFormat="false" ht="15.75" hidden="false" customHeight="false" outlineLevel="0" collapsed="false">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ustomFormat="false" ht="15.75" hidden="false" customHeight="false" outlineLevel="0" collapsed="false">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ustomFormat="false" ht="15.75" hidden="false" customHeight="false" outlineLevel="0" collapsed="false">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ustomFormat="false" ht="15.75" hidden="false" customHeight="false" outlineLevel="0" collapsed="false">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ustomFormat="false" ht="15.75" hidden="false" customHeight="false" outlineLevel="0" collapsed="false">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ustomFormat="false" ht="15.75" hidden="false" customHeight="false" outlineLevel="0" collapsed="false">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ustomFormat="false" ht="15.75" hidden="false" customHeight="false" outlineLevel="0" collapsed="false">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ustomFormat="false" ht="15.75" hidden="false" customHeight="false" outlineLevel="0" collapsed="false">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ustomFormat="false" ht="15.75" hidden="false" customHeight="false" outlineLevel="0" collapsed="false">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ustomFormat="false" ht="15.75" hidden="false" customHeight="false" outlineLevel="0" collapsed="false">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ustomFormat="false" ht="15.75" hidden="false" customHeight="false" outlineLevel="0" collapsed="false">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ustomFormat="false" ht="15.75" hidden="false" customHeight="false" outlineLevel="0" collapsed="false">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ustomFormat="false" ht="15.75" hidden="false" customHeight="false" outlineLevel="0" collapsed="false">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ustomFormat="false" ht="15.75" hidden="false" customHeight="false" outlineLevel="0" collapsed="false">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ustomFormat="false" ht="15.75" hidden="false" customHeight="false" outlineLevel="0" collapsed="false">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ustomFormat="false" ht="15.75" hidden="false" customHeight="false" outlineLevel="0" collapsed="false">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ustomFormat="false" ht="15.75" hidden="false" customHeight="false" outlineLevel="0" collapsed="false">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ustomFormat="false" ht="15.75" hidden="false" customHeight="false" outlineLevel="0" collapsed="false">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ustomFormat="false" ht="15.75" hidden="false" customHeight="false" outlineLevel="0" collapsed="false">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ustomFormat="false" ht="15.75" hidden="false" customHeight="false" outlineLevel="0" collapsed="false">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ustomFormat="false" ht="15.75" hidden="false" customHeight="false" outlineLevel="0" collapsed="false">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ustomFormat="false" ht="15.75" hidden="false" customHeight="false" outlineLevel="0" collapsed="false">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ustomFormat="false" ht="15.75" hidden="false" customHeight="false" outlineLevel="0" collapsed="false">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ustomFormat="false" ht="15.75" hidden="false" customHeight="false" outlineLevel="0" collapsed="false">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ustomFormat="false" ht="15.75" hidden="false" customHeight="false" outlineLevel="0" collapsed="false">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ustomFormat="false" ht="15.75" hidden="false" customHeight="false" outlineLevel="0" collapsed="false">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ustomFormat="false" ht="15.75" hidden="false" customHeight="false" outlineLevel="0" collapsed="false">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ustomFormat="false" ht="15.75" hidden="false" customHeight="false" outlineLevel="0" collapsed="false">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ustomFormat="false" ht="15.75" hidden="false" customHeight="false" outlineLevel="0" collapsed="false">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ustomFormat="false" ht="15.75" hidden="false" customHeight="false" outlineLevel="0" collapsed="false">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ustomFormat="false" ht="15.75" hidden="false" customHeight="false" outlineLevel="0" collapsed="false">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ustomFormat="false" ht="15.75" hidden="false" customHeight="false" outlineLevel="0" collapsed="false">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ustomFormat="false" ht="15.75" hidden="false" customHeight="false" outlineLevel="0" collapsed="false">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ustomFormat="false" ht="15.75" hidden="false" customHeight="false" outlineLevel="0" collapsed="false">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ustomFormat="false" ht="15.75" hidden="false" customHeight="false" outlineLevel="0" collapsed="false">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ustomFormat="false" ht="15.75" hidden="false" customHeight="false" outlineLevel="0" collapsed="false">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ustomFormat="false" ht="15.75" hidden="false" customHeight="false" outlineLevel="0" collapsed="false">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ustomFormat="false" ht="15.75" hidden="false" customHeight="false" outlineLevel="0" collapsed="false">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ustomFormat="false" ht="15.75" hidden="false" customHeight="false" outlineLevel="0" collapsed="false">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ustomFormat="false" ht="15.75" hidden="false" customHeight="false" outlineLevel="0" collapsed="false">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ustomFormat="false" ht="15.75" hidden="false" customHeight="false" outlineLevel="0" collapsed="false">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ustomFormat="false" ht="15.75" hidden="false" customHeight="false" outlineLevel="0" collapsed="false">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ustomFormat="false" ht="15.75" hidden="false" customHeight="false" outlineLevel="0" collapsed="false">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ustomFormat="false" ht="15.75" hidden="false" customHeight="false" outlineLevel="0" collapsed="false">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ustomFormat="false" ht="15.75" hidden="false" customHeight="false" outlineLevel="0" collapsed="false">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ustomFormat="false" ht="15.75" hidden="false" customHeight="false" outlineLevel="0" collapsed="false">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ustomFormat="false" ht="15.75" hidden="false" customHeight="false" outlineLevel="0" collapsed="false">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ustomFormat="false" ht="15.75" hidden="false" customHeight="false" outlineLevel="0" collapsed="false">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ustomFormat="false" ht="15.75" hidden="false" customHeight="false" outlineLevel="0" collapsed="false">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ustomFormat="false" ht="15.75" hidden="false" customHeight="false" outlineLevel="0" collapsed="false">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ustomFormat="false" ht="15.75" hidden="false" customHeight="false" outlineLevel="0" collapsed="false">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ustomFormat="false" ht="15.75" hidden="false" customHeight="false" outlineLevel="0" collapsed="false">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ustomFormat="false" ht="15.75" hidden="false" customHeight="false" outlineLevel="0" collapsed="false">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ustomFormat="false" ht="15.75" hidden="false" customHeight="false" outlineLevel="0" collapsed="false">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ustomFormat="false" ht="15.75" hidden="false" customHeight="false" outlineLevel="0" collapsed="false">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ustomFormat="false" ht="15.75" hidden="false" customHeight="false" outlineLevel="0" collapsed="false">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ustomFormat="false" ht="15.75" hidden="false" customHeight="false" outlineLevel="0" collapsed="false">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ustomFormat="false" ht="15.75" hidden="false" customHeight="false" outlineLevel="0" collapsed="false">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ustomFormat="false" ht="15.75" hidden="false" customHeight="false" outlineLevel="0" collapsed="false">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ustomFormat="false" ht="15.75" hidden="false" customHeight="false" outlineLevel="0" collapsed="false">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ustomFormat="false" ht="15.75" hidden="false" customHeight="false" outlineLevel="0" collapsed="false">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ustomFormat="false" ht="15.75" hidden="false" customHeight="false" outlineLevel="0" collapsed="false">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ustomFormat="false" ht="15.75" hidden="false" customHeight="false" outlineLevel="0" collapsed="false">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ustomFormat="false" ht="15.75" hidden="false" customHeight="false" outlineLevel="0" collapsed="false">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ustomFormat="false" ht="15.75" hidden="false" customHeight="false" outlineLevel="0" collapsed="false">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ustomFormat="false" ht="15.75" hidden="false" customHeight="false" outlineLevel="0" collapsed="false">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ustomFormat="false" ht="15.75" hidden="false" customHeight="false" outlineLevel="0" collapsed="false">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ustomFormat="false" ht="15.75" hidden="false" customHeight="false" outlineLevel="0" collapsed="false">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ustomFormat="false" ht="15.75" hidden="false" customHeight="false" outlineLevel="0" collapsed="false">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ustomFormat="false" ht="15.75" hidden="false" customHeight="false" outlineLevel="0" collapsed="false">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ustomFormat="false" ht="15.75" hidden="false" customHeight="false" outlineLevel="0" collapsed="false">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ustomFormat="false" ht="15.75" hidden="false" customHeight="false" outlineLevel="0" collapsed="false">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ustomFormat="false" ht="15.75" hidden="false" customHeight="false" outlineLevel="0" collapsed="false">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ustomFormat="false" ht="15.75" hidden="false" customHeight="false" outlineLevel="0" collapsed="false">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ustomFormat="false" ht="15.75" hidden="false" customHeight="false" outlineLevel="0" collapsed="false">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ustomFormat="false" ht="15.75" hidden="false" customHeight="false" outlineLevel="0" collapsed="false">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ustomFormat="false" ht="15.75" hidden="false" customHeight="false" outlineLevel="0" collapsed="false">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ustomFormat="false" ht="15.75" hidden="false" customHeight="false" outlineLevel="0" collapsed="false">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ustomFormat="false" ht="15.75" hidden="false" customHeight="false" outlineLevel="0" collapsed="false">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ustomFormat="false" ht="15.75" hidden="false" customHeight="false" outlineLevel="0" collapsed="false">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ustomFormat="false" ht="15.75" hidden="false" customHeight="false" outlineLevel="0" collapsed="false">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ustomFormat="false" ht="15.75" hidden="false" customHeight="false" outlineLevel="0" collapsed="false">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ustomFormat="false" ht="15.75" hidden="false" customHeight="false" outlineLevel="0" collapsed="false">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ustomFormat="false" ht="15.75" hidden="false" customHeight="false" outlineLevel="0" collapsed="false">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ustomFormat="false" ht="15.75" hidden="false" customHeight="false" outlineLevel="0" collapsed="false">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ustomFormat="false" ht="15.75" hidden="false" customHeight="false" outlineLevel="0" collapsed="false">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ustomFormat="false" ht="15.75" hidden="false" customHeight="false" outlineLevel="0" collapsed="false">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ustomFormat="false" ht="15.75" hidden="false" customHeight="false" outlineLevel="0" collapsed="false">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ustomFormat="false" ht="15.75" hidden="false" customHeight="false" outlineLevel="0" collapsed="false">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ustomFormat="false" ht="15.75" hidden="false" customHeight="false" outlineLevel="0" collapsed="false">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ustomFormat="false" ht="15.75" hidden="false" customHeight="false" outlineLevel="0" collapsed="false">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ustomFormat="false" ht="15.75" hidden="false" customHeight="false" outlineLevel="0" collapsed="false">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ustomFormat="false" ht="15.75" hidden="false" customHeight="false" outlineLevel="0" collapsed="false">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ustomFormat="false" ht="15.75" hidden="false" customHeight="false" outlineLevel="0" collapsed="false">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ustomFormat="false" ht="15.75" hidden="false" customHeight="false" outlineLevel="0" collapsed="false">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ustomFormat="false" ht="15.75" hidden="false" customHeight="false" outlineLevel="0" collapsed="false">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ustomFormat="false" ht="15.75" hidden="false" customHeight="false" outlineLevel="0" collapsed="false">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ustomFormat="false" ht="15.75" hidden="false" customHeight="false" outlineLevel="0" collapsed="false">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ustomFormat="false" ht="15.75" hidden="false" customHeight="false" outlineLevel="0" collapsed="false">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ustomFormat="false" ht="15.75" hidden="false" customHeight="false" outlineLevel="0" collapsed="false">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ustomFormat="false" ht="15.75" hidden="false" customHeight="false" outlineLevel="0" collapsed="false">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ustomFormat="false" ht="15.75" hidden="false" customHeight="false" outlineLevel="0" collapsed="false">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ustomFormat="false" ht="15.75" hidden="false" customHeight="false" outlineLevel="0" collapsed="false">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ustomFormat="false" ht="15.75" hidden="false" customHeight="false" outlineLevel="0" collapsed="false">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ustomFormat="false" ht="15.75" hidden="false" customHeight="false" outlineLevel="0" collapsed="false">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ustomFormat="false" ht="15.75" hidden="false" customHeight="false" outlineLevel="0" collapsed="false">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ustomFormat="false" ht="15.75" hidden="false" customHeight="false" outlineLevel="0" collapsed="false">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ustomFormat="false" ht="15.75" hidden="false" customHeight="false" outlineLevel="0" collapsed="false">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ustomFormat="false" ht="15.75" hidden="false" customHeight="false" outlineLevel="0" collapsed="false">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ustomFormat="false" ht="15.75" hidden="false" customHeight="false" outlineLevel="0" collapsed="false">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ustomFormat="false" ht="15.75" hidden="false" customHeight="false" outlineLevel="0" collapsed="false">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ustomFormat="false" ht="15.75" hidden="false" customHeight="false" outlineLevel="0" collapsed="false">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ustomFormat="false" ht="15.75" hidden="false" customHeight="false" outlineLevel="0" collapsed="false">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ustomFormat="false" ht="15.75" hidden="false" customHeight="false" outlineLevel="0" collapsed="false">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ustomFormat="false" ht="15.75" hidden="false" customHeight="false" outlineLevel="0" collapsed="false">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ustomFormat="false" ht="15.75" hidden="false" customHeight="false" outlineLevel="0" collapsed="false">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ustomFormat="false" ht="15.75" hidden="false" customHeight="false" outlineLevel="0" collapsed="false">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ustomFormat="false" ht="15.75" hidden="false" customHeight="false" outlineLevel="0" collapsed="false">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ustomFormat="false" ht="15.75" hidden="false" customHeight="false" outlineLevel="0" collapsed="false">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ustomFormat="false" ht="15.75" hidden="false" customHeight="false" outlineLevel="0" collapsed="false">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ustomFormat="false" ht="15.75" hidden="false" customHeight="false" outlineLevel="0" collapsed="false">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ustomFormat="false" ht="15.75" hidden="false" customHeight="false" outlineLevel="0" collapsed="false">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ustomFormat="false" ht="15.75" hidden="false" customHeight="false" outlineLevel="0" collapsed="false">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ustomFormat="false" ht="15.75" hidden="false" customHeight="false" outlineLevel="0" collapsed="false">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ustomFormat="false" ht="15.75" hidden="false" customHeight="false" outlineLevel="0" collapsed="false">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ustomFormat="false" ht="15.75" hidden="false" customHeight="false" outlineLevel="0" collapsed="false">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ustomFormat="false" ht="15.75" hidden="false" customHeight="false" outlineLevel="0" collapsed="false">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ustomFormat="false" ht="15.75" hidden="false" customHeight="false" outlineLevel="0" collapsed="false">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ustomFormat="false" ht="15.75" hidden="false" customHeight="false" outlineLevel="0" collapsed="false">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ustomFormat="false" ht="15.75" hidden="false" customHeight="false" outlineLevel="0" collapsed="false">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ustomFormat="false" ht="15.75" hidden="false" customHeight="false" outlineLevel="0" collapsed="false">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ustomFormat="false" ht="15.75" hidden="false" customHeight="false" outlineLevel="0" collapsed="false">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ustomFormat="false" ht="15.75" hidden="false" customHeight="false" outlineLevel="0" collapsed="false">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ustomFormat="false" ht="15.75" hidden="false" customHeight="false" outlineLevel="0" collapsed="false">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ustomFormat="false" ht="15.75" hidden="false" customHeight="false" outlineLevel="0" collapsed="false">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ustomFormat="false" ht="15.75" hidden="false" customHeight="false" outlineLevel="0" collapsed="false">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ustomFormat="false" ht="15.75" hidden="false" customHeight="false" outlineLevel="0" collapsed="false">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ustomFormat="false" ht="15.75" hidden="false" customHeight="false" outlineLevel="0" collapsed="false">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ustomFormat="false" ht="15.75" hidden="false" customHeight="false" outlineLevel="0" collapsed="false">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ustomFormat="false" ht="15.75" hidden="false" customHeight="false" outlineLevel="0" collapsed="false">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ustomFormat="false" ht="15.75" hidden="false" customHeight="false" outlineLevel="0" collapsed="false">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ustomFormat="false" ht="15.75" hidden="false" customHeight="false" outlineLevel="0" collapsed="false">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ustomFormat="false" ht="15.75" hidden="false" customHeight="false" outlineLevel="0" collapsed="false">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ustomFormat="false" ht="15.75" hidden="false" customHeight="false" outlineLevel="0" collapsed="false">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ustomFormat="false" ht="15.75" hidden="false" customHeight="false" outlineLevel="0" collapsed="false">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ustomFormat="false" ht="15.75" hidden="false" customHeight="false" outlineLevel="0" collapsed="false">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ustomFormat="false" ht="15.75" hidden="false" customHeight="false" outlineLevel="0" collapsed="false">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ustomFormat="false" ht="15.75" hidden="false" customHeight="false" outlineLevel="0" collapsed="false">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ustomFormat="false" ht="15.75" hidden="false" customHeight="false" outlineLevel="0" collapsed="false">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ustomFormat="false" ht="15.75" hidden="false" customHeight="false" outlineLevel="0" collapsed="false">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ustomFormat="false" ht="15.75" hidden="false" customHeight="false" outlineLevel="0" collapsed="false">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ustomFormat="false" ht="15.75" hidden="false" customHeight="false" outlineLevel="0" collapsed="false">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ustomFormat="false" ht="15.75" hidden="false" customHeight="false" outlineLevel="0" collapsed="false">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ustomFormat="false" ht="15.75" hidden="false" customHeight="false" outlineLevel="0" collapsed="false">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ustomFormat="false" ht="15.75" hidden="false" customHeight="false" outlineLevel="0" collapsed="false">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ustomFormat="false" ht="15.75" hidden="false" customHeight="false" outlineLevel="0" collapsed="false">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ustomFormat="false" ht="15.75" hidden="false" customHeight="false" outlineLevel="0" collapsed="false">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ustomFormat="false" ht="15.75" hidden="false" customHeight="false" outlineLevel="0" collapsed="false">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ustomFormat="false" ht="15.75" hidden="false" customHeight="false" outlineLevel="0" collapsed="false">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ustomFormat="false" ht="15.75" hidden="false" customHeight="false" outlineLevel="0" collapsed="false">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ustomFormat="false" ht="15.75" hidden="false" customHeight="false" outlineLevel="0" collapsed="false">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ustomFormat="false" ht="15.75" hidden="false" customHeight="false" outlineLevel="0" collapsed="false">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ustomFormat="false" ht="15.75" hidden="false" customHeight="false" outlineLevel="0" collapsed="false">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ustomFormat="false" ht="15.75" hidden="false" customHeight="false" outlineLevel="0" collapsed="false">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ustomFormat="false" ht="15.75" hidden="false" customHeight="false" outlineLevel="0" collapsed="false">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ustomFormat="false" ht="15.75" hidden="false" customHeight="false" outlineLevel="0" collapsed="false">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ustomFormat="false" ht="15.75" hidden="false" customHeight="false" outlineLevel="0" collapsed="false">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ustomFormat="false" ht="15.75" hidden="false" customHeight="false" outlineLevel="0" collapsed="false">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ustomFormat="false" ht="15.75" hidden="false" customHeight="false" outlineLevel="0" collapsed="false">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ustomFormat="false" ht="15.75" hidden="false" customHeight="false" outlineLevel="0" collapsed="false">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ustomFormat="false" ht="15.75" hidden="false" customHeight="false" outlineLevel="0" collapsed="false">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ustomFormat="false" ht="15.75" hidden="false" customHeight="false" outlineLevel="0" collapsed="false">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ustomFormat="false" ht="15.75" hidden="false" customHeight="false" outlineLevel="0" collapsed="false">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ustomFormat="false" ht="15.75" hidden="false" customHeight="false" outlineLevel="0" collapsed="false">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ustomFormat="false" ht="15.75" hidden="false" customHeight="false" outlineLevel="0" collapsed="false">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ustomFormat="false" ht="15.75" hidden="false" customHeight="false" outlineLevel="0" collapsed="false">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ustomFormat="false" ht="15.75" hidden="false" customHeight="false" outlineLevel="0" collapsed="false">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ustomFormat="false" ht="15.75" hidden="false" customHeight="false" outlineLevel="0" collapsed="false">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ustomFormat="false" ht="15.75" hidden="false" customHeight="false" outlineLevel="0" collapsed="false">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ustomFormat="false" ht="15.75" hidden="false" customHeight="false" outlineLevel="0" collapsed="false">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ustomFormat="false" ht="15.75" hidden="false" customHeight="false" outlineLevel="0" collapsed="false">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ustomFormat="false" ht="15.75" hidden="false" customHeight="false" outlineLevel="0" collapsed="false">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ustomFormat="false" ht="15.75" hidden="false" customHeight="false" outlineLevel="0" collapsed="false">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ustomFormat="false" ht="15.75" hidden="false" customHeight="false" outlineLevel="0" collapsed="false">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ustomFormat="false" ht="15.75" hidden="false" customHeight="false" outlineLevel="0" collapsed="false">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ustomFormat="false" ht="15.75" hidden="false" customHeight="false" outlineLevel="0" collapsed="false">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ustomFormat="false" ht="15.75" hidden="false" customHeight="false" outlineLevel="0" collapsed="false">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ustomFormat="false" ht="15.75" hidden="false" customHeight="false" outlineLevel="0" collapsed="false">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ustomFormat="false" ht="15.75" hidden="false" customHeight="false" outlineLevel="0" collapsed="false">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ustomFormat="false" ht="15.75" hidden="false" customHeight="false" outlineLevel="0" collapsed="false">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ustomFormat="false" ht="15.75" hidden="false" customHeight="false" outlineLevel="0" collapsed="false">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ustomFormat="false" ht="15.75" hidden="false" customHeight="false" outlineLevel="0" collapsed="false">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ustomFormat="false" ht="15.75" hidden="false" customHeight="false" outlineLevel="0" collapsed="false">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ustomFormat="false" ht="15.75" hidden="false" customHeight="false" outlineLevel="0" collapsed="false">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ustomFormat="false" ht="15.75" hidden="false" customHeight="false" outlineLevel="0" collapsed="false">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ustomFormat="false" ht="15.75" hidden="false" customHeight="false" outlineLevel="0" collapsed="false">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ustomFormat="false" ht="15.75" hidden="false" customHeight="false" outlineLevel="0" collapsed="false">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ustomFormat="false" ht="15.75" hidden="false" customHeight="false" outlineLevel="0" collapsed="false">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ustomFormat="false" ht="15.75" hidden="false" customHeight="false" outlineLevel="0" collapsed="false">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ustomFormat="false" ht="15.75" hidden="false" customHeight="false" outlineLevel="0" collapsed="false">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ustomFormat="false" ht="15.75" hidden="false" customHeight="false" outlineLevel="0" collapsed="false">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ustomFormat="false" ht="15.75" hidden="false" customHeight="false" outlineLevel="0" collapsed="false">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ustomFormat="false" ht="15.75" hidden="false" customHeight="false" outlineLevel="0" collapsed="false">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ustomFormat="false" ht="15.75" hidden="false" customHeight="false" outlineLevel="0" collapsed="false">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ustomFormat="false" ht="15.75" hidden="false" customHeight="false" outlineLevel="0" collapsed="false">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ustomFormat="false" ht="15.75" hidden="false" customHeight="false" outlineLevel="0" collapsed="false">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ustomFormat="false" ht="15.75" hidden="false" customHeight="false" outlineLevel="0" collapsed="false">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ustomFormat="false" ht="15.75" hidden="false" customHeight="false" outlineLevel="0" collapsed="false">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ustomFormat="false" ht="15.75" hidden="false" customHeight="false" outlineLevel="0" collapsed="false">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ustomFormat="false" ht="15.75" hidden="false" customHeight="false" outlineLevel="0" collapsed="false">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ustomFormat="false" ht="15.75" hidden="false" customHeight="false" outlineLevel="0" collapsed="false">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ustomFormat="false" ht="15.75" hidden="false" customHeight="false" outlineLevel="0" collapsed="false">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ustomFormat="false" ht="15.75" hidden="false" customHeight="false" outlineLevel="0" collapsed="false">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ustomFormat="false" ht="15.75" hidden="false" customHeight="false" outlineLevel="0" collapsed="false">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ustomFormat="false" ht="15.75" hidden="false" customHeight="false" outlineLevel="0" collapsed="false">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ustomFormat="false" ht="15.75" hidden="false" customHeight="false" outlineLevel="0" collapsed="false">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ustomFormat="false" ht="15.75" hidden="false" customHeight="false" outlineLevel="0" collapsed="false">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ustomFormat="false" ht="15.75" hidden="false" customHeight="false" outlineLevel="0" collapsed="false">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ustomFormat="false" ht="15.75" hidden="false" customHeight="false" outlineLevel="0" collapsed="false">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ustomFormat="false" ht="15.75" hidden="false" customHeight="false" outlineLevel="0" collapsed="false">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ustomFormat="false" ht="15.75" hidden="false" customHeight="false" outlineLevel="0" collapsed="false">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ustomFormat="false" ht="15.75" hidden="false" customHeight="false" outlineLevel="0" collapsed="false">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ustomFormat="false" ht="15.75" hidden="false" customHeight="false" outlineLevel="0" collapsed="false">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ustomFormat="false" ht="15.75" hidden="false" customHeight="false" outlineLevel="0" collapsed="false">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ustomFormat="false" ht="15.75" hidden="false" customHeight="false" outlineLevel="0" collapsed="false">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ustomFormat="false" ht="15.75" hidden="false" customHeight="false" outlineLevel="0" collapsed="false">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ustomFormat="false" ht="15.75" hidden="false" customHeight="false" outlineLevel="0" collapsed="false">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ustomFormat="false" ht="15.75" hidden="false" customHeight="false" outlineLevel="0" collapsed="false">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ustomFormat="false" ht="15.75" hidden="false" customHeight="false" outlineLevel="0" collapsed="false">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ustomFormat="false" ht="15.75" hidden="false" customHeight="false" outlineLevel="0" collapsed="false">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ustomFormat="false" ht="15.75" hidden="false" customHeight="false" outlineLevel="0" collapsed="false">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ustomFormat="false" ht="15.75" hidden="false" customHeight="false" outlineLevel="0" collapsed="false">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ustomFormat="false" ht="15.75" hidden="false" customHeight="false" outlineLevel="0" collapsed="false">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ustomFormat="false" ht="15.75" hidden="false" customHeight="false" outlineLevel="0" collapsed="false">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ustomFormat="false" ht="15.75" hidden="false" customHeight="false" outlineLevel="0" collapsed="false">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ustomFormat="false" ht="15.75" hidden="false" customHeight="false" outlineLevel="0" collapsed="false">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ustomFormat="false" ht="15.75" hidden="false" customHeight="false" outlineLevel="0" collapsed="false">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ustomFormat="false" ht="15.75" hidden="false" customHeight="false" outlineLevel="0" collapsed="false">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ustomFormat="false" ht="15.75" hidden="false" customHeight="false" outlineLevel="0" collapsed="false">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ustomFormat="false" ht="15.75" hidden="false" customHeight="false" outlineLevel="0" collapsed="false">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ustomFormat="false" ht="15.75" hidden="false" customHeight="false" outlineLevel="0" collapsed="false">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ustomFormat="false" ht="15.75" hidden="false" customHeight="false" outlineLevel="0" collapsed="false">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ustomFormat="false" ht="15.75" hidden="false" customHeight="false" outlineLevel="0" collapsed="false">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ustomFormat="false" ht="15.75" hidden="false" customHeight="false" outlineLevel="0" collapsed="false">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ustomFormat="false" ht="15.75" hidden="false" customHeight="false" outlineLevel="0" collapsed="false">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ustomFormat="false" ht="15.75" hidden="false" customHeight="false" outlineLevel="0" collapsed="false">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ustomFormat="false" ht="15.75" hidden="false" customHeight="false" outlineLevel="0" collapsed="false">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ustomFormat="false" ht="15.75" hidden="false" customHeight="false" outlineLevel="0" collapsed="false">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ustomFormat="false" ht="15.75" hidden="false" customHeight="false" outlineLevel="0" collapsed="false">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ustomFormat="false" ht="15.75" hidden="false" customHeight="false" outlineLevel="0" collapsed="false">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ustomFormat="false" ht="15.75" hidden="false" customHeight="false" outlineLevel="0" collapsed="false">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ustomFormat="false" ht="15.75" hidden="false" customHeight="false" outlineLevel="0" collapsed="false">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ustomFormat="false" ht="15.75" hidden="false" customHeight="false" outlineLevel="0" collapsed="false">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ustomFormat="false" ht="15.75" hidden="false" customHeight="false" outlineLevel="0" collapsed="false">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ustomFormat="false" ht="15.75" hidden="false" customHeight="false" outlineLevel="0" collapsed="false">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ustomFormat="false" ht="15.75" hidden="false" customHeight="false" outlineLevel="0" collapsed="false">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ustomFormat="false" ht="15.75" hidden="false" customHeight="false" outlineLevel="0" collapsed="false">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ustomFormat="false" ht="15.75" hidden="false" customHeight="false" outlineLevel="0" collapsed="false">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ustomFormat="false" ht="15.75" hidden="false" customHeight="false" outlineLevel="0" collapsed="false">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ustomFormat="false" ht="15.75" hidden="false" customHeight="false" outlineLevel="0" collapsed="false">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ustomFormat="false" ht="15.75" hidden="false" customHeight="false" outlineLevel="0" collapsed="false">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ustomFormat="false" ht="15.75" hidden="false" customHeight="false" outlineLevel="0" collapsed="false">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ustomFormat="false" ht="15.75" hidden="false" customHeight="false" outlineLevel="0" collapsed="false">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ustomFormat="false" ht="15.75" hidden="false" customHeight="false" outlineLevel="0" collapsed="false">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ustomFormat="false" ht="15.75" hidden="false" customHeight="false" outlineLevel="0" collapsed="false">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ustomFormat="false" ht="15.75" hidden="false" customHeight="false" outlineLevel="0" collapsed="false">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ustomFormat="false" ht="15.75" hidden="false" customHeight="false" outlineLevel="0" collapsed="false">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ustomFormat="false" ht="15.75" hidden="false" customHeight="false" outlineLevel="0" collapsed="false">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ustomFormat="false" ht="15.75" hidden="false" customHeight="false" outlineLevel="0" collapsed="false">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ustomFormat="false" ht="15.75" hidden="false" customHeight="false" outlineLevel="0" collapsed="false">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ustomFormat="false" ht="15.75" hidden="false" customHeight="false" outlineLevel="0" collapsed="false">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ustomFormat="false" ht="15.75" hidden="false" customHeight="false" outlineLevel="0" collapsed="false">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ustomFormat="false" ht="15.75" hidden="false" customHeight="false" outlineLevel="0" collapsed="false">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ustomFormat="false" ht="15.75" hidden="false" customHeight="false" outlineLevel="0" collapsed="false">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ustomFormat="false" ht="15.75" hidden="false" customHeight="false" outlineLevel="0" collapsed="false">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ustomFormat="false" ht="15.75" hidden="false" customHeight="false" outlineLevel="0" collapsed="false">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ustomFormat="false" ht="15.75" hidden="false" customHeight="false" outlineLevel="0" collapsed="false">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ustomFormat="false" ht="15.75" hidden="false" customHeight="false" outlineLevel="0" collapsed="false">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ustomFormat="false" ht="15.75" hidden="false" customHeight="false" outlineLevel="0" collapsed="false">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ustomFormat="false" ht="15.75" hidden="false" customHeight="false" outlineLevel="0" collapsed="false">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ustomFormat="false" ht="15.75" hidden="false" customHeight="false" outlineLevel="0" collapsed="false">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ustomFormat="false" ht="15.75" hidden="false" customHeight="false" outlineLevel="0" collapsed="false">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ustomFormat="false" ht="15.75" hidden="false" customHeight="false" outlineLevel="0" collapsed="false">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ustomFormat="false" ht="15.75" hidden="false" customHeight="false" outlineLevel="0" collapsed="false">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ustomFormat="false" ht="15.75" hidden="false" customHeight="false" outlineLevel="0" collapsed="false">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ustomFormat="false" ht="15.75" hidden="false" customHeight="false" outlineLevel="0" collapsed="false">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ustomFormat="false" ht="15.75" hidden="false" customHeight="false" outlineLevel="0" collapsed="false">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ustomFormat="false" ht="15.75" hidden="false" customHeight="false" outlineLevel="0" collapsed="false">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ustomFormat="false" ht="15.75" hidden="false" customHeight="false" outlineLevel="0" collapsed="false">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ustomFormat="false" ht="15.75" hidden="false" customHeight="false" outlineLevel="0" collapsed="false">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ustomFormat="false" ht="15.75" hidden="false" customHeight="false" outlineLevel="0" collapsed="false">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ustomFormat="false" ht="15.75" hidden="false" customHeight="false" outlineLevel="0" collapsed="false">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ustomFormat="false" ht="15.75" hidden="false" customHeight="false" outlineLevel="0" collapsed="false">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ustomFormat="false" ht="15.75" hidden="false" customHeight="false" outlineLevel="0" collapsed="false">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ustomFormat="false" ht="15.75" hidden="false" customHeight="false" outlineLevel="0" collapsed="false">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ustomFormat="false" ht="15.75" hidden="false" customHeight="false" outlineLevel="0" collapsed="false">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ustomFormat="false" ht="15.75" hidden="false" customHeight="false" outlineLevel="0" collapsed="false">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ustomFormat="false" ht="15.75" hidden="false" customHeight="false" outlineLevel="0" collapsed="false">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ustomFormat="false" ht="15.75" hidden="false" customHeight="false" outlineLevel="0" collapsed="false">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ustomFormat="false" ht="15.75" hidden="false" customHeight="false" outlineLevel="0" collapsed="false">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ustomFormat="false" ht="15.75" hidden="false" customHeight="false" outlineLevel="0" collapsed="false">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ustomFormat="false" ht="15.75" hidden="false" customHeight="false" outlineLevel="0" collapsed="false">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ustomFormat="false" ht="15.75" hidden="false" customHeight="false" outlineLevel="0" collapsed="false">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ustomFormat="false" ht="15.75" hidden="false" customHeight="false" outlineLevel="0" collapsed="false">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ustomFormat="false" ht="15.75" hidden="false" customHeight="false" outlineLevel="0" collapsed="false">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ustomFormat="false" ht="15.75" hidden="false" customHeight="false" outlineLevel="0" collapsed="false">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39">
    <mergeCell ref="A2:F2"/>
    <mergeCell ref="A15:F15"/>
    <mergeCell ref="D24:E24"/>
    <mergeCell ref="D25:E25"/>
    <mergeCell ref="D26:E26"/>
    <mergeCell ref="D27:E27"/>
    <mergeCell ref="D29:E29"/>
    <mergeCell ref="D30:E30"/>
    <mergeCell ref="D31:E31"/>
    <mergeCell ref="D32:E32"/>
    <mergeCell ref="E35:F35"/>
    <mergeCell ref="E41:F41"/>
    <mergeCell ref="E43:F43"/>
    <mergeCell ref="E45:F45"/>
    <mergeCell ref="E47:F47"/>
    <mergeCell ref="E49:F49"/>
    <mergeCell ref="E54:F54"/>
    <mergeCell ref="E56:F56"/>
    <mergeCell ref="D60:E60"/>
    <mergeCell ref="D61:E61"/>
    <mergeCell ref="D62:E62"/>
    <mergeCell ref="C63:C64"/>
    <mergeCell ref="D63:E63"/>
    <mergeCell ref="D64:E64"/>
    <mergeCell ref="D69:E69"/>
    <mergeCell ref="D70:E70"/>
    <mergeCell ref="D71:E71"/>
    <mergeCell ref="C72:C77"/>
    <mergeCell ref="D72:E72"/>
    <mergeCell ref="D73:E73"/>
    <mergeCell ref="D74:E74"/>
    <mergeCell ref="D75:E75"/>
    <mergeCell ref="D76:E76"/>
    <mergeCell ref="D77:E77"/>
    <mergeCell ref="D81:E81"/>
    <mergeCell ref="D82:E82"/>
    <mergeCell ref="C83:C84"/>
    <mergeCell ref="D83:E83"/>
    <mergeCell ref="D84:E84"/>
  </mergeCells>
  <hyperlinks>
    <hyperlink ref="D24" r:id="rId1" location="readContract" display="https://sepolia-optimism.etherscan.io/address/0x8BF6C353143D6C68Ba4255b3C2c917A1BDa1C7f7#readContract"/>
    <hyperlink ref="D25" r:id="rId2" location="writeContract" display="https://sepolia.arbiscan.io/address/0x4C2F87b29f2e157e442Fb735a4C0b257D9303a13#writeContract"/>
    <hyperlink ref="D29" r:id="rId3" location="writeProxyContract" display="https://sepolia-optimism.etherscan.io/address/0x0bd88B5f2d183A8cFC7D7CC83990A712D49fcDFD#writeProxyContract"/>
    <hyperlink ref="D30" r:id="rId4" location="writeProxyContract" display="https://sepolia.arbiscan.io/address/0xa275fdD42079fe3FcF1f9EdC97b5592aA65F9598#writeProxyContract"/>
    <hyperlink ref="D60" r:id="rId5" location="readProxyContract" display="https://sepolia-optimism.etherscan.io/address/0xa5Ef69C0af6a87693eFb60d37e74005efc129F3d#readProxyContract"/>
    <hyperlink ref="D61" r:id="rId6" location="writeProxyContract" display="https://sepolia.arbiscan.io/address/0x36FD545018B136518f0f651A7B639A89765b7b9F#writeProxyContract"/>
    <hyperlink ref="D69" r:id="rId7" location="writeProxyContract" display="https://sepolia-optimism.etherscan.io/address/0x158C6f9Bc83512e897725D3eDcC1887e18FB164F#writeProxyContract"/>
    <hyperlink ref="D70" r:id="rId8" location="writeProxyContract" display="https://sepolia.arbiscan.io/address/0x1dD0c8DeeD006e7285c268E19eb8c41625B4914D#writeProxyContract"/>
    <hyperlink ref="D81" r:id="rId9" location="readProxyContract" display="https://sepolia-optimism.etherscan.io/address/0x9335489b50F550653ec9Fd0C2fF7De8661C56b51#readProxyContract"/>
    <hyperlink ref="D82" r:id="rId10" location="writeProxyContract" display="https://sepolia.arbiscan.io/address/0x4359b44B0e3096e3b85D3b8A5A34Fe7121E460C0#writeProxyContract"/>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2026-07-09T17:20:55Z</dcterms:modified>
  <cp:revision>1</cp:revision>
  <dc:subject/>
  <dc:title/>
</cp:coreProperties>
</file>