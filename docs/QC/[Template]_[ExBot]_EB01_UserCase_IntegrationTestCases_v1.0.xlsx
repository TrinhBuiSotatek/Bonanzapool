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 List" sheetId="2" r:id="rId5"/>
    <sheet state="visible" name="Changed History" sheetId="3" r:id="rId6"/>
    <sheet state="visible" name="Test Report" sheetId="4" r:id="rId7"/>
    <sheet state="visible" name="GUI" sheetId="5" r:id="rId8"/>
    <sheet state="visible" name="Function" sheetId="6" r:id="rId9"/>
    <sheet state="visible" name="Screen Layout" sheetId="7" r:id="rId10"/>
  </sheets>
  <definedNames/>
  <calcPr/>
  <extLst>
    <ext uri="GoogleSheetsCustomDataVersion2">
      <go:sheetsCustomData xmlns:go="http://customooxmlschemas.google.com/" r:id="rId11" roundtripDataChecksum="Mh8lJ7kwkHUbhlTON9P7eThMmdeHveenY35fRfOWOgc="/>
    </ext>
  </extLst>
</workbook>
</file>

<file path=xl/sharedStrings.xml><?xml version="1.0" encoding="utf-8"?>
<sst xmlns="http://schemas.openxmlformats.org/spreadsheetml/2006/main" count="382" uniqueCount="125">
  <si>
    <t>Test Cases</t>
  </si>
  <si>
    <t>ExBot</t>
  </si>
  <si>
    <t>Project Name:</t>
  </si>
  <si>
    <t>Reviewer:</t>
  </si>
  <si>
    <t>Document Code:</t>
  </si>
  <si>
    <t>[ExBot] EB01_User Case_Integration Test Cases_v1.0</t>
  </si>
  <si>
    <t>Role:</t>
  </si>
  <si>
    <t>Created By:</t>
  </si>
  <si>
    <t>Reviewed Date:</t>
  </si>
  <si>
    <t>QC</t>
  </si>
  <si>
    <t>Approver:</t>
  </si>
  <si>
    <t>Created Date:</t>
  </si>
  <si>
    <t>Version</t>
  </si>
  <si>
    <t>1.0</t>
  </si>
  <si>
    <t>Approved Date:</t>
  </si>
  <si>
    <t xml:space="preserve"> </t>
  </si>
  <si>
    <t>Test Cases List</t>
  </si>
  <si>
    <t>Project Name</t>
  </si>
  <si>
    <t>Project Code</t>
  </si>
  <si>
    <t>No.</t>
  </si>
  <si>
    <t>Function Name</t>
  </si>
  <si>
    <t>Sheet Name</t>
  </si>
  <si>
    <t>Description</t>
  </si>
  <si>
    <t>Notes</t>
  </si>
  <si>
    <t>GUI</t>
  </si>
  <si>
    <t>Function</t>
  </si>
  <si>
    <t>Changed History</t>
  </si>
  <si>
    <t>Date</t>
  </si>
  <si>
    <t>Contents of update</t>
  </si>
  <si>
    <t>Reason</t>
  </si>
  <si>
    <t>Created By/Updated By</t>
  </si>
  <si>
    <t>Reviewer</t>
  </si>
  <si>
    <t>Approver</t>
  </si>
  <si>
    <t>Create New</t>
  </si>
  <si>
    <t>Test Report</t>
  </si>
  <si>
    <t>Tester</t>
  </si>
  <si>
    <t>Execute Date</t>
  </si>
  <si>
    <t>Document Name</t>
  </si>
  <si>
    <t>Reviewer/Approved By</t>
  </si>
  <si>
    <t>Re-marks</t>
  </si>
  <si>
    <t>OK</t>
  </si>
  <si>
    <t>NG</t>
  </si>
  <si>
    <t>Untested</t>
  </si>
  <si>
    <t>N/A</t>
  </si>
  <si>
    <t>Total number of test cases</t>
  </si>
  <si>
    <t>Total</t>
  </si>
  <si>
    <t>Test coverage</t>
  </si>
  <si>
    <t>%</t>
  </si>
  <si>
    <t>Test success coverage</t>
  </si>
  <si>
    <t>System Name</t>
  </si>
  <si>
    <t>Exbot</t>
  </si>
  <si>
    <t>Browser</t>
  </si>
  <si>
    <t>Chrome</t>
  </si>
  <si>
    <t>Number of Test cases</t>
  </si>
  <si>
    <t>Number of Bugs</t>
  </si>
  <si>
    <t>Phase</t>
  </si>
  <si>
    <t>Integration Test</t>
  </si>
  <si>
    <t>Screen Name</t>
  </si>
  <si>
    <t>Android</t>
  </si>
  <si>
    <t>Created By</t>
  </si>
  <si>
    <t>Created Date</t>
  </si>
  <si>
    <t>IOS</t>
  </si>
  <si>
    <t>Updated By</t>
  </si>
  <si>
    <t>Updated Date</t>
  </si>
  <si>
    <t>Test case ID</t>
  </si>
  <si>
    <t>Roles</t>
  </si>
  <si>
    <t>Test Title/Summary of test cases</t>
  </si>
  <si>
    <t>Test Steps</t>
  </si>
  <si>
    <t>Expected Results</t>
  </si>
  <si>
    <t>Test Priority</t>
  </si>
  <si>
    <t>Confirmation Data</t>
  </si>
  <si>
    <t>Round1</t>
  </si>
  <si>
    <t>Round2</t>
  </si>
  <si>
    <t>L1</t>
  </si>
  <si>
    <t>Assignee</t>
  </si>
  <si>
    <t>Execution Date</t>
  </si>
  <si>
    <t>Test Result</t>
  </si>
  <si>
    <t>BugID</t>
  </si>
  <si>
    <t>I. User List</t>
  </si>
  <si>
    <t>Check all items on the screen</t>
  </si>
  <si>
    <t>Check names of all items</t>
  </si>
  <si>
    <t>Check names of items which displayed on screen</t>
  </si>
  <si>
    <t xml:space="preserve"> Confirm names of items displayed on screen
- Names of Items are displayed all information as described in Screen Layout 
- No incorrect/overlaped texts in all items in screen. 
(Refer sheet Screen Layout - I. User List)</t>
  </si>
  <si>
    <t>Medium</t>
  </si>
  <si>
    <t>Check number of items displayed on screen</t>
  </si>
  <si>
    <t>Confirm the number of items displayed on screen
- The number of displayed items is sufficient and the same as Screen Layout
(Refer sheet Screen Layout - I. User List)</t>
  </si>
  <si>
    <t>Check positions of items displayed on screen</t>
  </si>
  <si>
    <t>Confirm positions of items displayed on screen 
- Positions of items are the same as Screen Layout
(Refer sheet Screen Layout - I. User List)</t>
  </si>
  <si>
    <t>Check font type, font size, font color, font style (bold …) of items</t>
  </si>
  <si>
    <t>Check font type, font size, font color, font style (bold …) of items in screen</t>
  </si>
  <si>
    <t>Confirm font type, font size, font color, font style (bold …) of items in screen
-  font type, font size, font color, font style are the same as Screen Layout
(Refer sheet Screen Layout - I. User List)</t>
  </si>
  <si>
    <t>Check alignments of items</t>
  </si>
  <si>
    <t>Check alignments of items in screen</t>
  </si>
  <si>
    <t>Confirm alignments of items in screen
- Alignments of items are the same as Screen Layout
(Refer sheet Screen Layout - I. User List)</t>
  </si>
  <si>
    <t>Check type of all items</t>
  </si>
  <si>
    <t>Common cases</t>
  </si>
  <si>
    <t xml:space="preserve">Check zoom-in/zoom-out </t>
  </si>
  <si>
    <t>Execute zoom-in/zoom-out</t>
  </si>
  <si>
    <t>No abnormal error occurred</t>
  </si>
  <si>
    <t>Low</t>
  </si>
  <si>
    <t>Check for case data maxlength</t>
  </si>
  <si>
    <t xml:space="preserve">Check data displayed in case of maxlenght </t>
  </si>
  <si>
    <t>No font error occurred</t>
  </si>
  <si>
    <t>Tab and Shift + Tab are operated correctly</t>
  </si>
  <si>
    <t>Check operation for Tab and Shift + Tab</t>
  </si>
  <si>
    <t>Process to push backSpace key</t>
  </si>
  <si>
    <t xml:space="preserve">Click backspace consecutively in control which is able to input text, for checking any abnormal error. </t>
  </si>
  <si>
    <t>Process to push F5 key</t>
  </si>
  <si>
    <t>Push F5 key</t>
  </si>
  <si>
    <t>Refresh the page successfully</t>
  </si>
  <si>
    <t>Process to push enter key</t>
  </si>
  <si>
    <t xml:space="preserve">Input invalid value and click enter to check any abnormal error. </t>
  </si>
  <si>
    <t>PartnersWeek</t>
  </si>
  <si>
    <t>User Management</t>
  </si>
  <si>
    <t>I. User list</t>
  </si>
  <si>
    <r>
      <rPr>
        <rFont val="Arial"/>
        <b/>
        <i/>
        <color rgb="FF000000"/>
        <sz val="10.0"/>
      </rPr>
      <t xml:space="preserve">Pre-Conditions: 
</t>
    </r>
    <r>
      <rPr>
        <rFont val="Arial"/>
        <b val="0"/>
        <i/>
        <color rgb="FF000000"/>
        <sz val="10.0"/>
      </rPr>
      <t xml:space="preserve">- User connected the site by admin account </t>
    </r>
  </si>
  <si>
    <t>Confirm initializing the screen</t>
  </si>
  <si>
    <t>High</t>
  </si>
  <si>
    <t>Check value of all items in the screen</t>
  </si>
  <si>
    <t>Check action of all items on the screen</t>
  </si>
  <si>
    <t>A. User Management</t>
  </si>
  <si>
    <t>1. Indiviuals tab</t>
  </si>
  <si>
    <t>2. Companies</t>
  </si>
  <si>
    <t>3. Public Figures</t>
  </si>
  <si>
    <t>B. Forgot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</si>
</sst>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yyyy&quot;年&quot;m&quot;月&quot;d&quot;日&quot;"/>
    <numFmt numFmtId="166" formatCode="d-mmm-yy"/>
  </numFmts>
  <fonts count="35">
    <font>
      <sz val="11.0"/>
      <color rgb="FF000000"/>
      <name val="Calibri"/>
      <scheme val="minor"/>
    </font>
    <font>
      <sz val="10.0"/>
      <color theme="1"/>
      <name val="Arial"/>
    </font>
    <font>
      <sz val="11.0"/>
      <color rgb="FF000000"/>
      <name val="Arial"/>
    </font>
    <font>
      <sz val="9.0"/>
      <color theme="1"/>
      <name val="Arial"/>
    </font>
    <font>
      <b/>
      <sz val="36.0"/>
      <color theme="1"/>
      <name val="Arial"/>
    </font>
    <font/>
    <font>
      <b/>
      <sz val="21.0"/>
      <color theme="1"/>
      <name val="Arial"/>
    </font>
    <font>
      <b/>
      <i/>
      <sz val="9.0"/>
      <color theme="1"/>
      <name val="Arial"/>
    </font>
    <font>
      <b/>
      <sz val="20.0"/>
      <color theme="1"/>
      <name val="Arial"/>
    </font>
    <font>
      <sz val="10.0"/>
      <color theme="1"/>
      <name val="Times New Roman"/>
    </font>
    <font>
      <b/>
      <sz val="10.0"/>
      <color theme="1"/>
      <name val="Arial"/>
    </font>
    <font>
      <i/>
      <sz val="10.0"/>
      <color theme="1"/>
      <name val="Arial"/>
    </font>
    <font>
      <sz val="10.0"/>
      <color theme="1"/>
      <name val="MS PGothic"/>
    </font>
    <font>
      <b/>
      <sz val="10.0"/>
      <color rgb="FFFFFFFF"/>
      <name val="Arial"/>
    </font>
    <font>
      <b/>
      <sz val="10.0"/>
      <color theme="1"/>
      <name val="MS PGothic"/>
    </font>
    <font>
      <u/>
      <sz val="10.0"/>
      <color theme="10"/>
      <name val="Arial"/>
    </font>
    <font>
      <u/>
      <sz val="10.0"/>
      <color theme="1"/>
      <name val="Arial"/>
    </font>
    <font>
      <u/>
      <sz val="10.0"/>
      <color theme="10"/>
      <name val="Arial"/>
    </font>
    <font>
      <u/>
      <sz val="10.0"/>
      <color theme="1"/>
      <name val="Arial"/>
    </font>
    <font>
      <sz val="11.0"/>
      <color rgb="FF000000"/>
      <name val="Times New Roman"/>
    </font>
    <font>
      <i/>
      <sz val="10.0"/>
      <color rgb="FFFF0000"/>
      <name val="Arial"/>
    </font>
    <font>
      <sz val="10.0"/>
      <color rgb="FFFF0000"/>
      <name val="MS PGothic"/>
    </font>
    <font>
      <sz val="11.0"/>
      <color theme="1"/>
      <name val="MS PGothic"/>
    </font>
    <font>
      <b/>
      <sz val="20.0"/>
      <color rgb="FF000000"/>
      <name val="Arial"/>
    </font>
    <font>
      <b/>
      <sz val="10.0"/>
      <color rgb="FF993300"/>
      <name val="Arial"/>
    </font>
    <font>
      <i/>
      <sz val="10.0"/>
      <color rgb="FF008000"/>
      <name val="Arial"/>
    </font>
    <font>
      <sz val="10.0"/>
      <color rgb="FFFFFFFF"/>
      <name val="Arial"/>
    </font>
    <font>
      <sz val="10.0"/>
      <color rgb="FF000000"/>
      <name val="Arial"/>
    </font>
    <font>
      <b/>
      <i/>
      <sz val="10.0"/>
      <color theme="1"/>
      <name val="Arial"/>
    </font>
    <font>
      <sz val="10.0"/>
      <color rgb="FF000000"/>
      <name val="Calibri"/>
    </font>
    <font>
      <b/>
      <sz val="10.0"/>
      <color rgb="FF000000"/>
      <name val="Arial"/>
    </font>
    <font>
      <b/>
      <sz val="10.0"/>
      <color rgb="FFFF0000"/>
      <name val="Arial"/>
    </font>
    <font>
      <sz val="10.0"/>
      <color theme="1"/>
      <name val="Calibri"/>
    </font>
    <font>
      <sz val="10.0"/>
      <color rgb="FFFF0000"/>
      <name val="Arial"/>
    </font>
    <font>
      <b/>
      <i/>
      <sz val="10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8D8D8"/>
        <bgColor rgb="FFD8D8D8"/>
      </patternFill>
    </fill>
    <fill>
      <patternFill patternType="solid">
        <fgColor rgb="FF333399"/>
        <bgColor rgb="FF333399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00B0F0"/>
        <bgColor rgb="FF00B0F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D966"/>
        <bgColor rgb="FFFFD966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62">
    <border/>
    <border>
      <left style="thin">
        <color rgb="FFFFFFFF"/>
      </left>
      <right/>
      <top style="thin">
        <color rgb="FFFFFFFF"/>
      </top>
      <bottom/>
    </border>
    <border>
      <left/>
      <right/>
      <top style="thin">
        <color rgb="FFFFFFFF"/>
      </top>
      <bottom/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/>
      <top/>
      <bottom/>
    </border>
    <border>
      <left/>
      <right/>
      <top/>
      <bottom/>
    </border>
    <border>
      <right style="thin">
        <color rgb="FFFFFFFF"/>
      </right>
    </border>
    <border>
      <left/>
      <top/>
    </border>
    <border>
      <top/>
    </border>
    <border>
      <left/>
    </border>
    <border>
      <left/>
      <right style="thin">
        <color rgb="FFFFFFFF"/>
      </right>
      <top/>
      <bottom/>
    </border>
    <border>
      <left/>
      <top/>
      <bottom/>
    </border>
    <border>
      <top/>
      <bottom/>
    </border>
    <border>
      <left style="thin">
        <color rgb="FFFFFFFF"/>
      </lef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/>
      <top/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Border="1" applyFont="1"/>
    <xf borderId="4" fillId="2" fontId="1" numFmtId="0" xfId="0" applyBorder="1" applyFont="1"/>
    <xf borderId="5" fillId="3" fontId="3" numFmtId="0" xfId="0" applyAlignment="1" applyBorder="1" applyFill="1" applyFont="1">
      <alignment shrinkToFit="0" vertical="center" wrapText="1"/>
    </xf>
    <xf borderId="5" fillId="2" fontId="1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2" fontId="1" numFmtId="0" xfId="0" applyBorder="1" applyFont="1"/>
    <xf borderId="7" fillId="3" fontId="6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left" shrinkToFit="0" vertical="center" wrapText="1"/>
    </xf>
    <xf borderId="12" fillId="0" fontId="5" numFmtId="0" xfId="0" applyBorder="1" applyFont="1"/>
    <xf borderId="11" fillId="2" fontId="7" numFmtId="0" xfId="0" applyAlignment="1" applyBorder="1" applyFont="1">
      <alignment horizontal="left" readingOrder="0" shrinkToFit="0" vertical="center" wrapText="1"/>
    </xf>
    <xf borderId="11" fillId="2" fontId="7" numFmtId="0" xfId="0" applyAlignment="1" applyBorder="1" applyFont="1">
      <alignment horizontal="left" shrinkToFit="0" vertical="center" wrapText="1"/>
    </xf>
    <xf borderId="11" fillId="2" fontId="7" numFmtId="164" xfId="0" applyAlignment="1" applyBorder="1" applyFont="1" applyNumberFormat="1">
      <alignment horizontal="left" shrinkToFit="0" vertical="center" wrapText="1"/>
    </xf>
    <xf borderId="13" fillId="0" fontId="2" numFmtId="0" xfId="0" applyBorder="1" applyFont="1"/>
    <xf borderId="0" fillId="0" fontId="2" numFmtId="0" xfId="0" applyFont="1"/>
    <xf borderId="0" fillId="2" fontId="2" numFmtId="0" xfId="0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5" fillId="2" fontId="1" numFmtId="49" xfId="0" applyBorder="1" applyFont="1" applyNumberFormat="1"/>
    <xf borderId="7" fillId="2" fontId="8" numFmtId="49" xfId="0" applyAlignment="1" applyBorder="1" applyFont="1" applyNumberFormat="1">
      <alignment horizontal="center"/>
    </xf>
    <xf borderId="5" fillId="2" fontId="9" numFmtId="49" xfId="0" applyBorder="1" applyFont="1" applyNumberFormat="1"/>
    <xf borderId="11" fillId="2" fontId="1" numFmtId="49" xfId="0" applyBorder="1" applyFont="1" applyNumberFormat="1"/>
    <xf borderId="17" fillId="4" fontId="10" numFmtId="49" xfId="0" applyBorder="1" applyFill="1" applyFont="1" applyNumberFormat="1"/>
    <xf borderId="18" fillId="0" fontId="5" numFmtId="0" xfId="0" applyBorder="1" applyFont="1"/>
    <xf borderId="19" fillId="2" fontId="11" numFmtId="49" xfId="0" applyAlignment="1" applyBorder="1" applyFont="1" applyNumberFormat="1">
      <alignment horizontal="left" readingOrder="0"/>
    </xf>
    <xf borderId="20" fillId="0" fontId="5" numFmtId="0" xfId="0" applyBorder="1" applyFont="1"/>
    <xf borderId="21" fillId="0" fontId="5" numFmtId="0" xfId="0" applyBorder="1" applyFont="1"/>
    <xf borderId="22" fillId="2" fontId="12" numFmtId="49" xfId="0" applyBorder="1" applyFont="1" applyNumberFormat="1"/>
    <xf borderId="5" fillId="2" fontId="12" numFmtId="49" xfId="0" applyBorder="1" applyFont="1" applyNumberFormat="1"/>
    <xf borderId="23" fillId="4" fontId="10" numFmtId="49" xfId="0" applyBorder="1" applyFont="1" applyNumberFormat="1"/>
    <xf borderId="24" fillId="0" fontId="5" numFmtId="0" xfId="0" applyBorder="1" applyFont="1"/>
    <xf borderId="25" fillId="2" fontId="11" numFmtId="49" xfId="0" applyAlignment="1" applyBorder="1" applyFont="1" applyNumberFormat="1">
      <alignment horizontal="left" readingOrder="0"/>
    </xf>
    <xf borderId="26" fillId="0" fontId="5" numFmtId="0" xfId="0" applyBorder="1" applyFont="1"/>
    <xf borderId="27" fillId="0" fontId="5" numFmtId="0" xfId="0" applyBorder="1" applyFont="1"/>
    <xf borderId="28" fillId="2" fontId="10" numFmtId="49" xfId="0" applyBorder="1" applyFont="1" applyNumberFormat="1"/>
    <xf borderId="28" fillId="2" fontId="1" numFmtId="49" xfId="0" applyBorder="1" applyFont="1" applyNumberFormat="1"/>
    <xf borderId="5" fillId="2" fontId="10" numFmtId="49" xfId="0" applyAlignment="1" applyBorder="1" applyFont="1" applyNumberFormat="1">
      <alignment horizontal="center"/>
    </xf>
    <xf borderId="29" fillId="5" fontId="13" numFmtId="49" xfId="0" applyAlignment="1" applyBorder="1" applyFill="1" applyFont="1" applyNumberFormat="1">
      <alignment horizontal="center" vertical="center"/>
    </xf>
    <xf borderId="30" fillId="5" fontId="13" numFmtId="49" xfId="0" applyAlignment="1" applyBorder="1" applyFont="1" applyNumberFormat="1">
      <alignment horizontal="center" vertical="center"/>
    </xf>
    <xf borderId="31" fillId="5" fontId="13" numFmtId="49" xfId="0" applyAlignment="1" applyBorder="1" applyFont="1" applyNumberFormat="1">
      <alignment horizontal="center" vertical="center"/>
    </xf>
    <xf borderId="32" fillId="5" fontId="13" numFmtId="49" xfId="0" applyAlignment="1" applyBorder="1" applyFont="1" applyNumberFormat="1">
      <alignment horizontal="center" vertical="center"/>
    </xf>
    <xf borderId="5" fillId="2" fontId="14" numFmtId="49" xfId="0" applyAlignment="1" applyBorder="1" applyFont="1" applyNumberFormat="1">
      <alignment horizontal="center"/>
    </xf>
    <xf borderId="33" fillId="2" fontId="1" numFmtId="49" xfId="0" applyAlignment="1" applyBorder="1" applyFont="1" applyNumberFormat="1">
      <alignment horizontal="center" vertical="center"/>
    </xf>
    <xf borderId="34" fillId="2" fontId="1" numFmtId="49" xfId="0" applyAlignment="1" applyBorder="1" applyFont="1" applyNumberFormat="1">
      <alignment horizontal="left" vertical="center"/>
    </xf>
    <xf borderId="34" fillId="2" fontId="15" numFmtId="49" xfId="0" applyAlignment="1" applyBorder="1" applyFont="1" applyNumberFormat="1">
      <alignment horizontal="left" vertical="center"/>
    </xf>
    <xf borderId="34" fillId="2" fontId="16" numFmtId="49" xfId="0" applyAlignment="1" applyBorder="1" applyFont="1" applyNumberFormat="1">
      <alignment horizontal="left" vertical="center"/>
    </xf>
    <xf borderId="35" fillId="2" fontId="1" numFmtId="49" xfId="0" applyAlignment="1" applyBorder="1" applyFont="1" applyNumberFormat="1">
      <alignment horizontal="left" vertical="center"/>
    </xf>
    <xf borderId="36" fillId="2" fontId="1" numFmtId="49" xfId="0" applyAlignment="1" applyBorder="1" applyFont="1" applyNumberFormat="1">
      <alignment horizontal="center" vertical="center"/>
    </xf>
    <xf borderId="37" fillId="2" fontId="1" numFmtId="49" xfId="0" applyAlignment="1" applyBorder="1" applyFont="1" applyNumberFormat="1">
      <alignment horizontal="left" vertical="center"/>
    </xf>
    <xf borderId="37" fillId="2" fontId="17" numFmtId="49" xfId="0" applyAlignment="1" applyBorder="1" applyFont="1" applyNumberFormat="1">
      <alignment horizontal="left" vertical="center"/>
    </xf>
    <xf borderId="37" fillId="2" fontId="18" numFmtId="49" xfId="0" applyAlignment="1" applyBorder="1" applyFont="1" applyNumberFormat="1">
      <alignment horizontal="left" vertical="center"/>
    </xf>
    <xf borderId="38" fillId="2" fontId="1" numFmtId="49" xfId="0" applyAlignment="1" applyBorder="1" applyFont="1" applyNumberFormat="1">
      <alignment horizontal="left" vertical="center"/>
    </xf>
    <xf borderId="5" fillId="2" fontId="9" numFmtId="49" xfId="0" applyAlignment="1" applyBorder="1" applyFont="1" applyNumberFormat="1">
      <alignment horizontal="left"/>
    </xf>
    <xf borderId="0" fillId="0" fontId="19" numFmtId="0" xfId="0" applyFont="1"/>
    <xf borderId="7" fillId="2" fontId="10" numFmtId="0" xfId="0" applyAlignment="1" applyBorder="1" applyFont="1">
      <alignment horizontal="left"/>
    </xf>
    <xf borderId="39" fillId="2" fontId="1" numFmtId="0" xfId="0" applyBorder="1" applyFont="1"/>
    <xf borderId="5" fillId="2" fontId="12" numFmtId="0" xfId="0" applyBorder="1" applyFont="1"/>
    <xf borderId="29" fillId="6" fontId="10" numFmtId="15" xfId="0" applyAlignment="1" applyBorder="1" applyFill="1" applyFont="1" applyNumberFormat="1">
      <alignment horizontal="center" vertical="center"/>
    </xf>
    <xf borderId="30" fillId="6" fontId="10" numFmtId="15" xfId="0" applyAlignment="1" applyBorder="1" applyFont="1" applyNumberFormat="1">
      <alignment horizontal="left" vertical="center"/>
    </xf>
    <xf borderId="30" fillId="6" fontId="10" numFmtId="0" xfId="0" applyAlignment="1" applyBorder="1" applyFont="1">
      <alignment horizontal="left" vertical="center"/>
    </xf>
    <xf borderId="32" fillId="6" fontId="10" numFmtId="0" xfId="0" applyAlignment="1" applyBorder="1" applyFont="1">
      <alignment horizontal="left" vertical="center"/>
    </xf>
    <xf borderId="22" fillId="2" fontId="12" numFmtId="0" xfId="0" applyAlignment="1" applyBorder="1" applyFont="1">
      <alignment horizontal="left" vertical="center"/>
    </xf>
    <xf borderId="5" fillId="2" fontId="12" numFmtId="0" xfId="0" applyAlignment="1" applyBorder="1" applyFont="1">
      <alignment horizontal="left" vertical="center"/>
    </xf>
    <xf borderId="33" fillId="2" fontId="1" numFmtId="0" xfId="0" applyAlignment="1" applyBorder="1" applyFont="1">
      <alignment horizontal="center" shrinkToFit="0" vertical="top" wrapText="1"/>
    </xf>
    <xf borderId="34" fillId="2" fontId="1" numFmtId="164" xfId="0" applyAlignment="1" applyBorder="1" applyFont="1" applyNumberFormat="1">
      <alignment horizontal="left" shrinkToFit="0" vertical="top" wrapText="1"/>
    </xf>
    <xf borderId="34" fillId="2" fontId="1" numFmtId="49" xfId="0" applyAlignment="1" applyBorder="1" applyFont="1" applyNumberFormat="1">
      <alignment horizontal="left" shrinkToFit="0" vertical="top" wrapText="1"/>
    </xf>
    <xf borderId="34" fillId="2" fontId="1" numFmtId="0" xfId="0" applyAlignment="1" applyBorder="1" applyFont="1">
      <alignment horizontal="left" shrinkToFit="0" vertical="top" wrapText="1"/>
    </xf>
    <xf borderId="35" fillId="2" fontId="1" numFmtId="0" xfId="0" applyAlignment="1" applyBorder="1" applyFont="1">
      <alignment horizontal="left" shrinkToFit="0" vertical="top" wrapText="1"/>
    </xf>
    <xf borderId="22" fillId="2" fontId="12" numFmtId="0" xfId="0" applyAlignment="1" applyBorder="1" applyFont="1">
      <alignment shrinkToFit="0" vertical="top" wrapText="1"/>
    </xf>
    <xf borderId="5" fillId="2" fontId="12" numFmtId="0" xfId="0" applyAlignment="1" applyBorder="1" applyFont="1">
      <alignment shrinkToFit="0" vertical="top" wrapText="1"/>
    </xf>
    <xf borderId="36" fillId="2" fontId="1" numFmtId="49" xfId="0" applyAlignment="1" applyBorder="1" applyFont="1" applyNumberFormat="1">
      <alignment horizontal="center" vertical="top"/>
    </xf>
    <xf borderId="37" fillId="2" fontId="20" numFmtId="165" xfId="0" applyAlignment="1" applyBorder="1" applyFont="1" applyNumberFormat="1">
      <alignment horizontal="left" shrinkToFit="0" vertical="top" wrapText="1"/>
    </xf>
    <xf borderId="37" fillId="2" fontId="20" numFmtId="49" xfId="0" applyAlignment="1" applyBorder="1" applyFont="1" applyNumberFormat="1">
      <alignment horizontal="left" shrinkToFit="0" vertical="top" wrapText="1"/>
    </xf>
    <xf borderId="37" fillId="2" fontId="20" numFmtId="0" xfId="0" applyAlignment="1" applyBorder="1" applyFont="1">
      <alignment horizontal="left" shrinkToFit="0" vertical="top" wrapText="1"/>
    </xf>
    <xf borderId="38" fillId="2" fontId="20" numFmtId="0" xfId="0" applyAlignment="1" applyBorder="1" applyFont="1">
      <alignment horizontal="left" shrinkToFit="0" vertical="top" wrapText="1"/>
    </xf>
    <xf borderId="22" fillId="2" fontId="21" numFmtId="0" xfId="0" applyAlignment="1" applyBorder="1" applyFont="1">
      <alignment shrinkToFit="0" vertical="top" wrapText="1"/>
    </xf>
    <xf borderId="5" fillId="2" fontId="21" numFmtId="0" xfId="0" applyAlignment="1" applyBorder="1" applyFont="1">
      <alignment shrinkToFit="0" vertical="top" wrapText="1"/>
    </xf>
    <xf borderId="28" fillId="2" fontId="22" numFmtId="0" xfId="0" applyBorder="1" applyFont="1"/>
    <xf borderId="5" fillId="2" fontId="22" numFmtId="0" xfId="0" applyBorder="1" applyFont="1"/>
    <xf borderId="11" fillId="2" fontId="23" numFmtId="0" xfId="0" applyAlignment="1" applyBorder="1" applyFont="1">
      <alignment horizontal="center" vertical="center"/>
    </xf>
    <xf borderId="5" fillId="2" fontId="10" numFmtId="0" xfId="0" applyBorder="1" applyFont="1"/>
    <xf borderId="39" fillId="2" fontId="10" numFmtId="0" xfId="0" applyBorder="1" applyFont="1"/>
    <xf borderId="39" fillId="2" fontId="1" numFmtId="15" xfId="0" applyBorder="1" applyFont="1" applyNumberFormat="1"/>
    <xf borderId="11" fillId="2" fontId="1" numFmtId="0" xfId="0" applyBorder="1" applyFont="1"/>
    <xf borderId="29" fillId="7" fontId="10" numFmtId="0" xfId="0" applyAlignment="1" applyBorder="1" applyFill="1" applyFont="1">
      <alignment vertical="center"/>
    </xf>
    <xf borderId="19" fillId="2" fontId="11" numFmtId="49" xfId="0" applyAlignment="1" applyBorder="1" applyFont="1" applyNumberFormat="1">
      <alignment horizontal="left" shrinkToFit="0" vertical="center" wrapText="1"/>
    </xf>
    <xf borderId="31" fillId="7" fontId="10" numFmtId="0" xfId="0" applyAlignment="1" applyBorder="1" applyFont="1">
      <alignment vertical="center"/>
    </xf>
    <xf borderId="40" fillId="7" fontId="10" numFmtId="0" xfId="0" applyAlignment="1" applyBorder="1" applyFont="1">
      <alignment vertical="center"/>
    </xf>
    <xf borderId="19" fillId="2" fontId="1" numFmtId="0" xfId="0" applyAlignment="1" applyBorder="1" applyFont="1">
      <alignment horizontal="left" vertical="center"/>
    </xf>
    <xf borderId="22" fillId="2" fontId="1" numFmtId="0" xfId="0" applyBorder="1" applyFont="1"/>
    <xf borderId="33" fillId="7" fontId="10" numFmtId="0" xfId="0" applyAlignment="1" applyBorder="1" applyFont="1">
      <alignment vertical="center"/>
    </xf>
    <xf borderId="41" fillId="2" fontId="11" numFmtId="49" xfId="0" applyAlignment="1" applyBorder="1" applyFont="1" applyNumberFormat="1">
      <alignment horizontal="left" shrinkToFit="0" vertical="center" wrapText="1"/>
    </xf>
    <xf borderId="42" fillId="0" fontId="5" numFmtId="0" xfId="0" applyBorder="1" applyFont="1"/>
    <xf borderId="34" fillId="7" fontId="10" numFmtId="0" xfId="0" applyAlignment="1" applyBorder="1" applyFont="1">
      <alignment vertical="center"/>
    </xf>
    <xf borderId="41" fillId="2" fontId="1" numFmtId="0" xfId="0" applyAlignment="1" applyBorder="1" applyFont="1">
      <alignment horizontal="left" vertical="center"/>
    </xf>
    <xf borderId="43" fillId="0" fontId="5" numFmtId="0" xfId="0" applyBorder="1" applyFont="1"/>
    <xf borderId="41" fillId="2" fontId="11" numFmtId="0" xfId="0" applyAlignment="1" applyBorder="1" applyFont="1">
      <alignment horizontal="left" shrinkToFit="0" vertical="center" wrapText="1"/>
    </xf>
    <xf borderId="41" fillId="2" fontId="1" numFmtId="165" xfId="0" applyAlignment="1" applyBorder="1" applyFont="1" applyNumberFormat="1">
      <alignment horizontal="left" vertical="center"/>
    </xf>
    <xf borderId="11" fillId="2" fontId="10" numFmtId="0" xfId="0" applyBorder="1" applyFont="1"/>
    <xf borderId="36" fillId="7" fontId="10" numFmtId="0" xfId="0" applyAlignment="1" applyBorder="1" applyFont="1">
      <alignment vertical="center"/>
    </xf>
    <xf borderId="25" fillId="2" fontId="11" numFmtId="0" xfId="0" applyAlignment="1" applyBorder="1" applyFont="1">
      <alignment vertical="center"/>
    </xf>
    <xf borderId="28" fillId="2" fontId="24" numFmtId="0" xfId="0" applyBorder="1" applyFont="1"/>
    <xf borderId="28" fillId="2" fontId="25" numFmtId="0" xfId="0" applyBorder="1" applyFont="1"/>
    <xf borderId="28" fillId="2" fontId="1" numFmtId="0" xfId="0" applyBorder="1" applyFont="1"/>
    <xf borderId="28" fillId="2" fontId="1" numFmtId="15" xfId="0" applyBorder="1" applyFont="1" applyNumberFormat="1"/>
    <xf borderId="39" fillId="2" fontId="24" numFmtId="0" xfId="0" applyBorder="1" applyFont="1"/>
    <xf borderId="39" fillId="2" fontId="25" numFmtId="0" xfId="0" applyBorder="1" applyFont="1"/>
    <xf borderId="29" fillId="8" fontId="13" numFmtId="0" xfId="0" applyAlignment="1" applyBorder="1" applyFill="1" applyFont="1">
      <alignment horizontal="center"/>
    </xf>
    <xf borderId="30" fillId="8" fontId="13" numFmtId="0" xfId="0" applyAlignment="1" applyBorder="1" applyFont="1">
      <alignment horizontal="center"/>
    </xf>
    <xf borderId="30" fillId="8" fontId="13" numFmtId="0" xfId="0" applyAlignment="1" applyBorder="1" applyFont="1">
      <alignment horizontal="center" shrinkToFit="0" wrapText="1"/>
    </xf>
    <xf borderId="32" fillId="8" fontId="13" numFmtId="0" xfId="0" applyAlignment="1" applyBorder="1" applyFont="1">
      <alignment horizontal="center" shrinkToFit="0" wrapText="1"/>
    </xf>
    <xf borderId="33" fillId="2" fontId="1" numFmtId="0" xfId="0" applyAlignment="1" applyBorder="1" applyFont="1">
      <alignment horizontal="center"/>
    </xf>
    <xf borderId="34" fillId="2" fontId="1" numFmtId="49" xfId="0" applyBorder="1" applyFont="1" applyNumberFormat="1"/>
    <xf borderId="34" fillId="2" fontId="1" numFmtId="0" xfId="0" applyAlignment="1" applyBorder="1" applyFont="1">
      <alignment horizontal="center"/>
    </xf>
    <xf borderId="35" fillId="2" fontId="1" numFmtId="0" xfId="0" applyAlignment="1" applyBorder="1" applyFont="1">
      <alignment horizontal="center"/>
    </xf>
    <xf borderId="36" fillId="8" fontId="26" numFmtId="0" xfId="0" applyAlignment="1" applyBorder="1" applyFont="1">
      <alignment horizontal="center"/>
    </xf>
    <xf borderId="37" fillId="8" fontId="13" numFmtId="0" xfId="0" applyAlignment="1" applyBorder="1" applyFont="1">
      <alignment horizontal="center"/>
    </xf>
    <xf borderId="37" fillId="8" fontId="26" numFmtId="0" xfId="0" applyAlignment="1" applyBorder="1" applyFont="1">
      <alignment horizontal="center"/>
    </xf>
    <xf borderId="38" fillId="8" fontId="26" numFmtId="0" xfId="0" applyAlignment="1" applyBorder="1" applyFont="1">
      <alignment horizontal="center"/>
    </xf>
    <xf borderId="28" fillId="2" fontId="1" numFmtId="0" xfId="0" applyAlignment="1" applyBorder="1" applyFont="1">
      <alignment horizontal="center"/>
    </xf>
    <xf borderId="28" fillId="2" fontId="1" numFmtId="10" xfId="0" applyAlignment="1" applyBorder="1" applyFont="1" applyNumberFormat="1">
      <alignment horizontal="center"/>
    </xf>
    <xf borderId="28" fillId="2" fontId="1" numFmtId="9" xfId="0" applyAlignment="1" applyBorder="1" applyFont="1" applyNumberFormat="1">
      <alignment horizontal="center"/>
    </xf>
    <xf borderId="5" fillId="2" fontId="10" numFmtId="0" xfId="0" applyAlignment="1" applyBorder="1" applyFont="1">
      <alignment horizontal="left"/>
    </xf>
    <xf borderId="5" fillId="2" fontId="10" numFmtId="2" xfId="0" applyAlignment="1" applyBorder="1" applyFont="1" applyNumberFormat="1">
      <alignment horizontal="right" shrinkToFit="0" wrapText="1"/>
    </xf>
    <xf borderId="5" fillId="2" fontId="27" numFmtId="0" xfId="0" applyAlignment="1" applyBorder="1" applyFont="1">
      <alignment horizontal="center" shrinkToFit="0" wrapText="1"/>
    </xf>
    <xf borderId="44" fillId="9" fontId="10" numFmtId="49" xfId="0" applyAlignment="1" applyBorder="1" applyFill="1" applyFont="1" applyNumberFormat="1">
      <alignment vertical="center"/>
    </xf>
    <xf borderId="45" fillId="0" fontId="1" numFmtId="49" xfId="0" applyAlignment="1" applyBorder="1" applyFont="1" applyNumberFormat="1">
      <alignment readingOrder="0" vertical="center"/>
    </xf>
    <xf borderId="45" fillId="0" fontId="1" numFmtId="49" xfId="0" applyAlignment="1" applyBorder="1" applyFont="1" applyNumberFormat="1">
      <alignment vertical="center"/>
    </xf>
    <xf borderId="46" fillId="9" fontId="10" numFmtId="49" xfId="0" applyAlignment="1" applyBorder="1" applyFont="1" applyNumberFormat="1">
      <alignment vertical="center"/>
    </xf>
    <xf borderId="47" fillId="2" fontId="1" numFmtId="0" xfId="0" applyAlignment="1" applyBorder="1" applyFont="1">
      <alignment vertical="center"/>
    </xf>
    <xf borderId="48" fillId="2" fontId="1" numFmtId="0" xfId="0" applyAlignment="1" applyBorder="1" applyFont="1">
      <alignment shrinkToFit="1" vertical="center" wrapText="0"/>
    </xf>
    <xf borderId="49" fillId="9" fontId="10" numFmtId="0" xfId="0" applyAlignment="1" applyBorder="1" applyFont="1">
      <alignment shrinkToFit="0" vertical="center" wrapText="1"/>
    </xf>
    <xf borderId="48" fillId="9" fontId="10" numFmtId="0" xfId="0" applyAlignment="1" applyBorder="1" applyFont="1">
      <alignment shrinkToFit="0" vertical="center" wrapText="1"/>
    </xf>
    <xf borderId="49" fillId="6" fontId="1" numFmtId="0" xfId="0" applyAlignment="1" applyBorder="1" applyFont="1">
      <alignment horizontal="center" shrinkToFit="0" vertical="center" wrapText="1"/>
    </xf>
    <xf borderId="48" fillId="10" fontId="1" numFmtId="0" xfId="0" applyAlignment="1" applyBorder="1" applyFill="1" applyFont="1">
      <alignment horizontal="center" shrinkToFit="0" vertical="center" wrapText="1"/>
    </xf>
    <xf borderId="0" fillId="0" fontId="27" numFmtId="49" xfId="0" applyAlignment="1" applyFont="1" applyNumberFormat="1">
      <alignment vertical="center"/>
    </xf>
    <xf borderId="47" fillId="9" fontId="10" numFmtId="49" xfId="0" applyAlignment="1" applyBorder="1" applyFont="1" applyNumberFormat="1">
      <alignment vertical="center"/>
    </xf>
    <xf borderId="45" fillId="0" fontId="1" numFmtId="0" xfId="0" applyAlignment="1" applyBorder="1" applyFont="1">
      <alignment vertical="center"/>
    </xf>
    <xf borderId="50" fillId="0" fontId="1" numFmtId="0" xfId="0" applyAlignment="1" applyBorder="1" applyFont="1">
      <alignment vertical="center"/>
    </xf>
    <xf borderId="51" fillId="0" fontId="5" numFmtId="0" xfId="0" applyBorder="1" applyFont="1"/>
    <xf borderId="46" fillId="9" fontId="10" numFmtId="0" xfId="0" applyAlignment="1" applyBorder="1" applyFont="1">
      <alignment shrinkToFit="0" vertical="center" wrapText="1"/>
    </xf>
    <xf borderId="50" fillId="2" fontId="1" numFmtId="0" xfId="0" applyAlignment="1" applyBorder="1" applyFont="1">
      <alignment horizontal="left" vertical="center"/>
    </xf>
    <xf borderId="52" fillId="0" fontId="5" numFmtId="0" xfId="0" applyBorder="1" applyFont="1"/>
    <xf borderId="50" fillId="2" fontId="1" numFmtId="164" xfId="0" applyAlignment="1" applyBorder="1" applyFont="1" applyNumberFormat="1">
      <alignment horizontal="left" vertical="center"/>
    </xf>
    <xf borderId="53" fillId="0" fontId="5" numFmtId="0" xfId="0" applyBorder="1" applyFont="1"/>
    <xf borderId="54" fillId="0" fontId="5" numFmtId="0" xfId="0" applyBorder="1" applyFont="1"/>
    <xf borderId="0" fillId="0" fontId="1" numFmtId="0" xfId="0" applyAlignment="1" applyFont="1">
      <alignment vertical="center"/>
    </xf>
    <xf borderId="50" fillId="9" fontId="10" numFmtId="0" xfId="0" applyAlignment="1" applyBorder="1" applyFont="1">
      <alignment horizontal="center" shrinkToFit="0" vertical="center" wrapText="1"/>
    </xf>
    <xf borderId="46" fillId="10" fontId="10" numFmtId="0" xfId="0" applyAlignment="1" applyBorder="1" applyFont="1">
      <alignment horizontal="center" shrinkToFit="0" vertical="center" wrapText="1"/>
    </xf>
    <xf borderId="48" fillId="11" fontId="10" numFmtId="0" xfId="0" applyAlignment="1" applyBorder="1" applyFill="1" applyFont="1">
      <alignment horizontal="center" shrinkToFit="0" vertical="center" wrapText="1"/>
    </xf>
    <xf borderId="46" fillId="9" fontId="10" numFmtId="0" xfId="0" applyAlignment="1" applyBorder="1" applyFont="1">
      <alignment horizontal="center" vertical="center"/>
    </xf>
    <xf borderId="49" fillId="9" fontId="10" numFmtId="0" xfId="0" applyAlignment="1" applyBorder="1" applyFont="1">
      <alignment horizontal="center" shrinkToFit="1" vertical="center" wrapText="0"/>
    </xf>
    <xf borderId="49" fillId="9" fontId="10" numFmtId="0" xfId="0" applyAlignment="1" applyBorder="1" applyFont="1">
      <alignment horizontal="center" shrinkToFit="0" vertical="center" wrapText="1"/>
    </xf>
    <xf borderId="50" fillId="12" fontId="10" numFmtId="0" xfId="0" applyAlignment="1" applyBorder="1" applyFill="1" applyFont="1">
      <alignment horizontal="center" shrinkToFit="0" vertical="center" wrapText="1"/>
    </xf>
    <xf borderId="50" fillId="13" fontId="10" numFmtId="0" xfId="0" applyAlignment="1" applyBorder="1" applyFill="1" applyFont="1">
      <alignment horizontal="center" shrinkToFit="0" vertical="center" wrapText="1"/>
    </xf>
    <xf borderId="46" fillId="13" fontId="10" numFmtId="0" xfId="0" applyAlignment="1" applyBorder="1" applyFont="1">
      <alignment horizontal="center" shrinkToFit="0" vertical="center" wrapText="1"/>
    </xf>
    <xf borderId="0" fillId="13" fontId="10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5" fillId="9" fontId="10" numFmtId="0" xfId="0" applyAlignment="1" applyBorder="1" applyFont="1">
      <alignment horizontal="center" shrinkToFit="1" vertical="center" wrapText="0"/>
    </xf>
    <xf borderId="55" fillId="12" fontId="10" numFmtId="0" xfId="0" applyAlignment="1" applyBorder="1" applyFont="1">
      <alignment horizontal="center" shrinkToFit="0" vertical="center" wrapText="1"/>
    </xf>
    <xf borderId="55" fillId="12" fontId="28" numFmtId="0" xfId="0" applyAlignment="1" applyBorder="1" applyFont="1">
      <alignment horizontal="center" shrinkToFit="0" vertical="center" wrapText="1"/>
    </xf>
    <xf borderId="55" fillId="13" fontId="10" numFmtId="0" xfId="0" applyAlignment="1" applyBorder="1" applyFont="1">
      <alignment horizontal="center" shrinkToFit="0" vertical="center" wrapText="1"/>
    </xf>
    <xf borderId="55" fillId="13" fontId="28" numFmtId="0" xfId="0" applyAlignment="1" applyBorder="1" applyFont="1">
      <alignment horizontal="center" shrinkToFit="0" vertical="center" wrapText="1"/>
    </xf>
    <xf borderId="54" fillId="10" fontId="29" numFmtId="0" xfId="0" applyAlignment="1" applyBorder="1" applyFont="1">
      <alignment vertical="center"/>
    </xf>
    <xf borderId="50" fillId="14" fontId="30" numFmtId="0" xfId="0" applyAlignment="1" applyBorder="1" applyFill="1" applyFont="1">
      <alignment vertical="center"/>
    </xf>
    <xf borderId="0" fillId="0" fontId="30" numFmtId="0" xfId="0" applyAlignment="1" applyFont="1">
      <alignment vertical="center"/>
    </xf>
    <xf borderId="46" fillId="10" fontId="10" numFmtId="0" xfId="0" applyAlignment="1" applyBorder="1" applyFont="1">
      <alignment horizontal="center" shrinkToFit="1" vertical="center" wrapText="0"/>
    </xf>
    <xf borderId="50" fillId="15" fontId="10" numFmtId="0" xfId="0" applyAlignment="1" applyBorder="1" applyFill="1" applyFont="1">
      <alignment vertical="center"/>
    </xf>
    <xf borderId="52" fillId="15" fontId="10" numFmtId="0" xfId="0" applyAlignment="1" applyBorder="1" applyFont="1">
      <alignment vertical="center"/>
    </xf>
    <xf borderId="53" fillId="15" fontId="10" numFmtId="0" xfId="0" applyAlignment="1" applyBorder="1" applyFont="1">
      <alignment vertical="center"/>
    </xf>
    <xf borderId="0" fillId="0" fontId="31" numFmtId="0" xfId="0" applyAlignment="1" applyFont="1">
      <alignment vertical="center"/>
    </xf>
    <xf borderId="46" fillId="10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shrinkToFit="0" vertical="center" wrapText="1"/>
    </xf>
    <xf borderId="55" fillId="16" fontId="1" numFmtId="0" xfId="0" applyAlignment="1" applyBorder="1" applyFill="1" applyFont="1">
      <alignment shrinkToFit="0" vertical="center" wrapText="1"/>
    </xf>
    <xf quotePrefix="1" borderId="55" fillId="16" fontId="1" numFmtId="0" xfId="0" applyAlignment="1" applyBorder="1" applyFont="1">
      <alignment shrinkToFit="0" vertical="center" wrapText="1"/>
    </xf>
    <xf borderId="46" fillId="0" fontId="1" numFmtId="0" xfId="0" applyAlignment="1" applyBorder="1" applyFont="1">
      <alignment horizontal="center" vertical="center"/>
    </xf>
    <xf borderId="54" fillId="0" fontId="1" numFmtId="0" xfId="0" applyAlignment="1" applyBorder="1" applyFont="1">
      <alignment shrinkToFit="0" vertical="center" wrapText="1"/>
    </xf>
    <xf borderId="54" fillId="0" fontId="1" numFmtId="0" xfId="0" applyAlignment="1" applyBorder="1" applyFont="1">
      <alignment horizontal="center" shrinkToFit="1" vertical="center" wrapText="0"/>
    </xf>
    <xf borderId="54" fillId="0" fontId="1" numFmtId="14" xfId="0" applyAlignment="1" applyBorder="1" applyFont="1" applyNumberFormat="1">
      <alignment horizontal="center" shrinkToFit="1" vertical="center" wrapText="0"/>
    </xf>
    <xf borderId="46" fillId="0" fontId="1" numFmtId="0" xfId="0" applyAlignment="1" applyBorder="1" applyFont="1">
      <alignment horizontal="center" shrinkToFit="0" vertical="center" wrapText="1"/>
    </xf>
    <xf borderId="52" fillId="0" fontId="1" numFmtId="14" xfId="0" applyAlignment="1" applyBorder="1" applyFont="1" applyNumberFormat="1">
      <alignment horizontal="center" shrinkToFit="1" vertical="center" wrapText="0"/>
    </xf>
    <xf borderId="54" fillId="0" fontId="32" numFmtId="0" xfId="0" applyAlignment="1" applyBorder="1" applyFont="1">
      <alignment vertical="center"/>
    </xf>
    <xf borderId="54" fillId="0" fontId="32" numFmtId="14" xfId="0" applyAlignment="1" applyBorder="1" applyFont="1" applyNumberFormat="1">
      <alignment vertical="center"/>
    </xf>
    <xf borderId="0" fillId="0" fontId="33" numFmtId="0" xfId="0" applyAlignment="1" applyFont="1">
      <alignment vertical="center"/>
    </xf>
    <xf borderId="46" fillId="16" fontId="1" numFmtId="0" xfId="0" applyAlignment="1" applyBorder="1" applyFont="1">
      <alignment shrinkToFit="0" vertical="center" wrapText="1"/>
    </xf>
    <xf quotePrefix="1" borderId="46" fillId="16" fontId="1" numFmtId="0" xfId="0" applyAlignment="1" applyBorder="1" applyFont="1">
      <alignment shrinkToFit="0" vertical="center" wrapText="1"/>
    </xf>
    <xf borderId="46" fillId="0" fontId="1" numFmtId="0" xfId="0" applyAlignment="1" applyBorder="1" applyFont="1">
      <alignment horizontal="center" shrinkToFit="1" vertical="center" wrapText="0"/>
    </xf>
    <xf borderId="46" fillId="0" fontId="1" numFmtId="14" xfId="0" applyAlignment="1" applyBorder="1" applyFont="1" applyNumberFormat="1">
      <alignment horizontal="center" shrinkToFit="1" vertical="center" wrapText="0"/>
    </xf>
    <xf borderId="49" fillId="0" fontId="1" numFmtId="0" xfId="0" applyAlignment="1" applyBorder="1" applyFont="1">
      <alignment shrinkToFit="0" vertical="center" wrapText="1"/>
    </xf>
    <xf borderId="49" fillId="16" fontId="1" numFmtId="0" xfId="0" applyAlignment="1" applyBorder="1" applyFont="1">
      <alignment shrinkToFit="0" vertical="center" wrapText="1"/>
    </xf>
    <xf quotePrefix="1" borderId="49" fillId="16" fontId="1" numFmtId="0" xfId="0" applyAlignment="1" applyBorder="1" applyFont="1">
      <alignment shrinkToFit="0" vertical="center" wrapText="1"/>
    </xf>
    <xf borderId="49" fillId="0" fontId="1" numFmtId="0" xfId="0" applyAlignment="1" applyBorder="1" applyFont="1">
      <alignment horizontal="center" shrinkToFit="1" vertical="center" wrapText="0"/>
    </xf>
    <xf borderId="49" fillId="0" fontId="1" numFmtId="14" xfId="0" applyAlignment="1" applyBorder="1" applyFont="1" applyNumberFormat="1">
      <alignment horizontal="center" shrinkToFit="1" vertical="center" wrapText="0"/>
    </xf>
    <xf borderId="49" fillId="0" fontId="1" numFmtId="0" xfId="0" applyAlignment="1" applyBorder="1" applyFont="1">
      <alignment horizontal="center" shrinkToFit="0" vertical="center" wrapText="1"/>
    </xf>
    <xf borderId="45" fillId="0" fontId="1" numFmtId="14" xfId="0" applyAlignment="1" applyBorder="1" applyFont="1" applyNumberFormat="1">
      <alignment horizontal="center" shrinkToFit="1" vertical="center" wrapText="0"/>
    </xf>
    <xf borderId="51" fillId="0" fontId="32" numFmtId="0" xfId="0" applyAlignment="1" applyBorder="1" applyFont="1">
      <alignment vertical="center"/>
    </xf>
    <xf borderId="51" fillId="0" fontId="32" numFmtId="14" xfId="0" applyAlignment="1" applyBorder="1" applyFont="1" applyNumberFormat="1">
      <alignment vertical="center"/>
    </xf>
    <xf borderId="46" fillId="16" fontId="1" numFmtId="0" xfId="0" applyAlignment="1" applyBorder="1" applyFont="1">
      <alignment horizontal="left" shrinkToFit="0" vertical="center" wrapText="1"/>
    </xf>
    <xf borderId="46" fillId="0" fontId="32" numFmtId="0" xfId="0" applyAlignment="1" applyBorder="1" applyFont="1">
      <alignment vertical="center"/>
    </xf>
    <xf borderId="46" fillId="0" fontId="32" numFmtId="14" xfId="0" applyAlignment="1" applyBorder="1" applyFont="1" applyNumberFormat="1">
      <alignment vertical="center"/>
    </xf>
    <xf borderId="49" fillId="0" fontId="1" numFmtId="0" xfId="0" applyAlignment="1" applyBorder="1" applyFont="1">
      <alignment horizontal="center" vertical="center"/>
    </xf>
    <xf borderId="49" fillId="0" fontId="32" numFmtId="0" xfId="0" applyAlignment="1" applyBorder="1" applyFont="1">
      <alignment vertical="center"/>
    </xf>
    <xf borderId="49" fillId="0" fontId="32" numFmtId="14" xfId="0" applyAlignment="1" applyBorder="1" applyFont="1" applyNumberFormat="1">
      <alignment vertical="center"/>
    </xf>
    <xf borderId="54" fillId="2" fontId="1" numFmtId="0" xfId="0" applyAlignment="1" applyBorder="1" applyFont="1">
      <alignment shrinkToFit="0" vertical="center" wrapText="1"/>
    </xf>
    <xf borderId="56" fillId="2" fontId="1" numFmtId="0" xfId="0" applyAlignment="1" applyBorder="1" applyFont="1">
      <alignment shrinkToFit="0" vertical="center" wrapText="1"/>
    </xf>
    <xf quotePrefix="1" borderId="56" fillId="2" fontId="1" numFmtId="0" xfId="0" applyAlignment="1" applyBorder="1" applyFont="1">
      <alignment shrinkToFit="0" vertical="center" wrapText="1"/>
    </xf>
    <xf borderId="0" fillId="0" fontId="27" numFmtId="0" xfId="0" applyAlignment="1" applyFont="1">
      <alignment vertical="center"/>
    </xf>
    <xf borderId="46" fillId="9" fontId="30" numFmtId="49" xfId="0" applyAlignment="1" applyBorder="1" applyFont="1" applyNumberFormat="1">
      <alignment vertical="center"/>
    </xf>
    <xf borderId="45" fillId="0" fontId="27" numFmtId="49" xfId="0" applyAlignment="1" applyBorder="1" applyFont="1" applyNumberFormat="1">
      <alignment vertical="center"/>
    </xf>
    <xf borderId="47" fillId="2" fontId="27" numFmtId="0" xfId="0" applyAlignment="1" applyBorder="1" applyFont="1">
      <alignment vertical="center"/>
    </xf>
    <xf borderId="48" fillId="2" fontId="27" numFmtId="0" xfId="0" applyAlignment="1" applyBorder="1" applyFont="1">
      <alignment shrinkToFit="1" vertical="center" wrapText="0"/>
    </xf>
    <xf borderId="49" fillId="9" fontId="30" numFmtId="0" xfId="0" applyAlignment="1" applyBorder="1" applyFont="1">
      <alignment shrinkToFit="0" vertical="center" wrapText="1"/>
    </xf>
    <xf borderId="48" fillId="9" fontId="30" numFmtId="0" xfId="0" applyAlignment="1" applyBorder="1" applyFont="1">
      <alignment shrinkToFit="0" vertical="center" wrapText="1"/>
    </xf>
    <xf borderId="49" fillId="6" fontId="27" numFmtId="0" xfId="0" applyAlignment="1" applyBorder="1" applyFont="1">
      <alignment horizontal="center" shrinkToFit="0" vertical="center" wrapText="1"/>
    </xf>
    <xf borderId="48" fillId="10" fontId="27" numFmtId="0" xfId="0" applyAlignment="1" applyBorder="1" applyFont="1">
      <alignment horizontal="center" shrinkToFit="0" vertical="center" wrapText="1"/>
    </xf>
    <xf borderId="45" fillId="0" fontId="27" numFmtId="0" xfId="0" applyAlignment="1" applyBorder="1" applyFont="1">
      <alignment vertical="center"/>
    </xf>
    <xf borderId="50" fillId="0" fontId="27" numFmtId="0" xfId="0" applyAlignment="1" applyBorder="1" applyFont="1">
      <alignment vertical="center"/>
    </xf>
    <xf borderId="46" fillId="9" fontId="30" numFmtId="0" xfId="0" applyAlignment="1" applyBorder="1" applyFont="1">
      <alignment shrinkToFit="0" vertical="center" wrapText="1"/>
    </xf>
    <xf borderId="50" fillId="2" fontId="27" numFmtId="164" xfId="0" applyAlignment="1" applyBorder="1" applyFont="1" applyNumberFormat="1">
      <alignment horizontal="left" vertical="center"/>
    </xf>
    <xf borderId="50" fillId="2" fontId="27" numFmtId="0" xfId="0" applyAlignment="1" applyBorder="1" applyFont="1">
      <alignment horizontal="left" vertical="center"/>
    </xf>
    <xf borderId="50" fillId="9" fontId="30" numFmtId="0" xfId="0" applyAlignment="1" applyBorder="1" applyFont="1">
      <alignment horizontal="center" shrinkToFit="0" vertical="center" wrapText="1"/>
    </xf>
    <xf borderId="46" fillId="10" fontId="30" numFmtId="0" xfId="0" applyAlignment="1" applyBorder="1" applyFont="1">
      <alignment horizontal="center" shrinkToFit="0" vertical="center" wrapText="1"/>
    </xf>
    <xf borderId="48" fillId="11" fontId="30" numFmtId="0" xfId="0" applyAlignment="1" applyBorder="1" applyFont="1">
      <alignment horizontal="center" shrinkToFit="0" vertical="center" wrapText="1"/>
    </xf>
    <xf borderId="46" fillId="9" fontId="30" numFmtId="0" xfId="0" applyAlignment="1" applyBorder="1" applyFont="1">
      <alignment horizontal="center" vertical="center"/>
    </xf>
    <xf borderId="49" fillId="9" fontId="30" numFmtId="0" xfId="0" applyAlignment="1" applyBorder="1" applyFont="1">
      <alignment horizontal="center" shrinkToFit="1" vertical="center" wrapText="0"/>
    </xf>
    <xf borderId="49" fillId="9" fontId="30" numFmtId="0" xfId="0" applyAlignment="1" applyBorder="1" applyFont="1">
      <alignment horizontal="center" shrinkToFit="0" vertical="center" wrapText="1"/>
    </xf>
    <xf borderId="50" fillId="12" fontId="30" numFmtId="0" xfId="0" applyAlignment="1" applyBorder="1" applyFont="1">
      <alignment horizontal="center" shrinkToFit="0" vertical="center" wrapText="1"/>
    </xf>
    <xf borderId="50" fillId="13" fontId="30" numFmtId="0" xfId="0" applyAlignment="1" applyBorder="1" applyFont="1">
      <alignment horizontal="center" shrinkToFit="0" vertical="center" wrapText="1"/>
    </xf>
    <xf borderId="46" fillId="13" fontId="30" numFmtId="0" xfId="0" applyAlignment="1" applyBorder="1" applyFont="1">
      <alignment horizontal="center" shrinkToFit="0" vertical="center" wrapText="1"/>
    </xf>
    <xf borderId="0" fillId="13" fontId="30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55" fillId="9" fontId="30" numFmtId="0" xfId="0" applyAlignment="1" applyBorder="1" applyFont="1">
      <alignment horizontal="center" shrinkToFit="1" vertical="center" wrapText="0"/>
    </xf>
    <xf borderId="55" fillId="12" fontId="30" numFmtId="0" xfId="0" applyAlignment="1" applyBorder="1" applyFont="1">
      <alignment horizontal="center" shrinkToFit="0" vertical="center" wrapText="1"/>
    </xf>
    <xf borderId="55" fillId="12" fontId="34" numFmtId="0" xfId="0" applyAlignment="1" applyBorder="1" applyFont="1">
      <alignment horizontal="center" shrinkToFit="0" vertical="center" wrapText="1"/>
    </xf>
    <xf borderId="55" fillId="13" fontId="30" numFmtId="0" xfId="0" applyAlignment="1" applyBorder="1" applyFont="1">
      <alignment horizontal="center" shrinkToFit="0" vertical="center" wrapText="1"/>
    </xf>
    <xf borderId="55" fillId="13" fontId="34" numFmtId="0" xfId="0" applyAlignment="1" applyBorder="1" applyFont="1">
      <alignment horizontal="center" shrinkToFit="0" vertical="center" wrapText="1"/>
    </xf>
    <xf borderId="57" fillId="13" fontId="30" numFmtId="0" xfId="0" applyAlignment="1" applyBorder="1" applyFont="1">
      <alignment horizontal="center" shrinkToFit="0" vertical="center" wrapText="1"/>
    </xf>
    <xf borderId="45" fillId="0" fontId="5" numFmtId="0" xfId="0" applyBorder="1" applyFont="1"/>
    <xf borderId="58" fillId="0" fontId="5" numFmtId="0" xfId="0" applyBorder="1" applyFont="1"/>
    <xf borderId="50" fillId="17" fontId="34" numFmtId="0" xfId="0" applyAlignment="1" applyBorder="1" applyFill="1" applyFont="1">
      <alignment vertical="center"/>
    </xf>
    <xf borderId="50" fillId="17" fontId="30" numFmtId="0" xfId="0" applyAlignment="1" applyBorder="1" applyFont="1">
      <alignment vertical="center"/>
    </xf>
    <xf borderId="46" fillId="10" fontId="30" numFmtId="0" xfId="0" applyAlignment="1" applyBorder="1" applyFont="1">
      <alignment horizontal="center" shrinkToFit="1" vertical="center" wrapText="0"/>
    </xf>
    <xf borderId="50" fillId="15" fontId="30" numFmtId="0" xfId="0" applyAlignment="1" applyBorder="1" applyFont="1">
      <alignment vertical="center"/>
    </xf>
    <xf borderId="52" fillId="15" fontId="30" numFmtId="0" xfId="0" applyAlignment="1" applyBorder="1" applyFont="1">
      <alignment vertical="center"/>
    </xf>
    <xf borderId="53" fillId="15" fontId="30" numFmtId="0" xfId="0" applyAlignment="1" applyBorder="1" applyFont="1">
      <alignment vertical="center"/>
    </xf>
    <xf borderId="54" fillId="10" fontId="27" numFmtId="0" xfId="0" applyAlignment="1" applyBorder="1" applyFont="1">
      <alignment horizontal="center" shrinkToFit="0" vertical="center" wrapText="1"/>
    </xf>
    <xf borderId="46" fillId="0" fontId="27" numFmtId="0" xfId="0" applyAlignment="1" applyBorder="1" applyFont="1">
      <alignment shrinkToFit="0" vertical="center" wrapText="1"/>
    </xf>
    <xf borderId="46" fillId="2" fontId="27" numFmtId="0" xfId="0" applyAlignment="1" applyBorder="1" applyFont="1">
      <alignment shrinkToFit="0" vertical="center" wrapText="1"/>
    </xf>
    <xf borderId="49" fillId="0" fontId="27" numFmtId="0" xfId="0" applyAlignment="1" applyBorder="1" applyFont="1">
      <alignment horizontal="center" vertical="center"/>
    </xf>
    <xf borderId="46" fillId="0" fontId="27" numFmtId="0" xfId="0" applyAlignment="1" applyBorder="1" applyFont="1">
      <alignment horizontal="center" shrinkToFit="1" vertical="center" wrapText="0"/>
    </xf>
    <xf borderId="46" fillId="0" fontId="27" numFmtId="14" xfId="0" applyAlignment="1" applyBorder="1" applyFont="1" applyNumberFormat="1">
      <alignment horizontal="center" shrinkToFit="1" vertical="center" wrapText="0"/>
    </xf>
    <xf borderId="49" fillId="0" fontId="27" numFmtId="0" xfId="0" applyAlignment="1" applyBorder="1" applyFont="1">
      <alignment horizontal="center" shrinkToFit="0" vertical="center" wrapText="1"/>
    </xf>
    <xf borderId="45" fillId="0" fontId="27" numFmtId="14" xfId="0" applyAlignment="1" applyBorder="1" applyFont="1" applyNumberFormat="1">
      <alignment horizontal="center" shrinkToFit="1" vertical="center" wrapText="0"/>
    </xf>
    <xf borderId="51" fillId="0" fontId="29" numFmtId="0" xfId="0" applyAlignment="1" applyBorder="1" applyFont="1">
      <alignment vertical="center"/>
    </xf>
    <xf borderId="51" fillId="0" fontId="29" numFmtId="14" xfId="0" applyAlignment="1" applyBorder="1" applyFont="1" applyNumberFormat="1">
      <alignment vertical="center"/>
    </xf>
    <xf borderId="52" fillId="15" fontId="29" numFmtId="0" xfId="0" applyAlignment="1" applyBorder="1" applyFont="1">
      <alignment vertical="center"/>
    </xf>
    <xf borderId="52" fillId="15" fontId="29" numFmtId="14" xfId="0" applyAlignment="1" applyBorder="1" applyFont="1" applyNumberFormat="1">
      <alignment vertical="center"/>
    </xf>
    <xf borderId="56" fillId="0" fontId="27" numFmtId="0" xfId="0" applyAlignment="1" applyBorder="1" applyFont="1">
      <alignment vertical="center"/>
    </xf>
    <xf borderId="56" fillId="0" fontId="27" numFmtId="0" xfId="0" applyAlignment="1" applyBorder="1" applyFont="1">
      <alignment horizontal="center" vertical="center"/>
    </xf>
    <xf borderId="56" fillId="0" fontId="29" numFmtId="0" xfId="0" applyAlignment="1" applyBorder="1" applyFont="1">
      <alignment vertical="center"/>
    </xf>
    <xf borderId="54" fillId="0" fontId="29" numFmtId="0" xfId="0" applyAlignment="1" applyBorder="1" applyFont="1">
      <alignment vertical="center"/>
    </xf>
    <xf borderId="46" fillId="2" fontId="29" numFmtId="166" xfId="0" applyAlignment="1" applyBorder="1" applyFont="1" applyNumberFormat="1">
      <alignment vertical="center"/>
    </xf>
    <xf borderId="46" fillId="0" fontId="27" numFmtId="0" xfId="0" applyAlignment="1" applyBorder="1" applyFont="1">
      <alignment horizontal="center" shrinkToFit="0" vertical="center" wrapText="1"/>
    </xf>
    <xf borderId="46" fillId="2" fontId="29" numFmtId="14" xfId="0" applyAlignment="1" applyBorder="1" applyFont="1" applyNumberFormat="1">
      <alignment vertical="center"/>
    </xf>
    <xf borderId="46" fillId="2" fontId="29" numFmtId="164" xfId="0" applyAlignment="1" applyBorder="1" applyFont="1" applyNumberFormat="1">
      <alignment vertical="center"/>
    </xf>
    <xf borderId="59" fillId="0" fontId="10" numFmtId="0" xfId="0" applyAlignment="1" applyBorder="1" applyFont="1">
      <alignment horizontal="left" vertical="center"/>
    </xf>
    <xf borderId="60" fillId="0" fontId="10" numFmtId="0" xfId="0" applyAlignment="1" applyBorder="1" applyFont="1">
      <alignment horizontal="left" vertical="center"/>
    </xf>
    <xf borderId="60" fillId="0" fontId="1" numFmtId="0" xfId="0" applyAlignment="1" applyBorder="1" applyFont="1">
      <alignment horizontal="center" vertical="center"/>
    </xf>
    <xf borderId="60" fillId="0" fontId="10" numFmtId="0" xfId="0" applyAlignment="1" applyBorder="1" applyFont="1">
      <alignment horizontal="center" vertical="center"/>
    </xf>
    <xf borderId="60" fillId="0" fontId="10" numFmtId="0" xfId="0" applyAlignment="1" applyBorder="1" applyFont="1">
      <alignment horizontal="center"/>
    </xf>
    <xf borderId="61" fillId="0" fontId="1" numFmtId="0" xfId="0" applyAlignment="1" applyBorder="1" applyFont="1">
      <alignment horizontal="center"/>
    </xf>
    <xf borderId="0" fillId="0" fontId="10" numFmtId="0" xfId="0" applyFont="1"/>
    <xf borderId="0" fillId="0" fontId="1" numFmtId="0" xfId="0" applyFont="1"/>
    <xf borderId="6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61" fillId="0" fontId="1" numFmtId="49" xfId="0" applyAlignment="1" applyBorder="1" applyFont="1" applyNumberFormat="1">
      <alignment horizontal="center"/>
    </xf>
    <xf borderId="61" fillId="0" fontId="10" numFmtId="49" xfId="0" applyAlignment="1" applyBorder="1" applyFont="1" applyNumberFormat="1">
      <alignment horizontal="left"/>
    </xf>
    <xf borderId="0" fillId="0" fontId="1" numFmtId="3" xfId="0" applyAlignment="1" applyFont="1" applyNumberFormat="1">
      <alignment vertical="center"/>
    </xf>
    <xf borderId="0" fillId="0" fontId="1" numFmtId="3" xfId="0" applyFont="1" applyNumberFormat="1"/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</xdr:row>
      <xdr:rowOff>57150</xdr:rowOff>
    </xdr:from>
    <xdr:ext cx="4876800" cy="2828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762000</xdr:colOff>
      <xdr:row>2</xdr:row>
      <xdr:rowOff>57150</xdr:rowOff>
    </xdr:from>
    <xdr:ext cx="4876800" cy="2828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4876800" cy="28384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13" width="9.29"/>
    <col customWidth="1" min="14" max="14" width="9.86"/>
    <col customWidth="1" min="15" max="15" width="1.57"/>
    <col customWidth="1" min="16" max="26" width="9.86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2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12.0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12.0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12.0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ht="12.0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ht="33.75" customHeight="1">
      <c r="A7" s="4"/>
      <c r="B7" s="5"/>
      <c r="C7" s="5"/>
      <c r="D7" s="5"/>
      <c r="E7" s="8" t="s">
        <v>0</v>
      </c>
      <c r="F7" s="9"/>
      <c r="G7" s="9"/>
      <c r="H7" s="9"/>
      <c r="I7" s="9"/>
      <c r="J7" s="9"/>
      <c r="K7" s="9"/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ht="12.75" customHeight="1">
      <c r="A8" s="4"/>
      <c r="B8" s="5"/>
      <c r="C8" s="5"/>
      <c r="D8" s="5"/>
      <c r="E8" s="10"/>
      <c r="L8" s="5"/>
      <c r="M8" s="5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ht="12.0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1"/>
    </row>
    <row r="10" ht="13.5" customHeight="1">
      <c r="A10" s="4"/>
      <c r="B10" s="5"/>
      <c r="C10" s="5"/>
      <c r="D10" s="5"/>
      <c r="E10" s="5"/>
      <c r="F10" s="12" t="s">
        <v>1</v>
      </c>
      <c r="G10" s="9"/>
      <c r="H10" s="9"/>
      <c r="I10" s="9"/>
      <c r="J10" s="9"/>
      <c r="K10" s="5"/>
      <c r="L10" s="5"/>
      <c r="M10" s="5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1"/>
    </row>
    <row r="11" ht="12.0" customHeight="1">
      <c r="A11" s="4"/>
      <c r="B11" s="5"/>
      <c r="C11" s="5"/>
      <c r="D11" s="5"/>
      <c r="E11" s="5"/>
      <c r="F11" s="10"/>
      <c r="K11" s="5"/>
      <c r="L11" s="5"/>
      <c r="M11" s="5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11"/>
    </row>
    <row r="12" ht="12.0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11"/>
    </row>
    <row r="13" ht="12.0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11"/>
    </row>
    <row r="14" ht="21.0" customHeight="1">
      <c r="A14" s="4"/>
      <c r="B14" s="5"/>
      <c r="C14" s="13" t="s">
        <v>2</v>
      </c>
      <c r="D14" s="14"/>
      <c r="E14" s="15" t="s">
        <v>1</v>
      </c>
      <c r="F14" s="14"/>
      <c r="G14" s="14"/>
      <c r="H14" s="5"/>
      <c r="I14" s="13" t="s">
        <v>3</v>
      </c>
      <c r="J14" s="14"/>
      <c r="K14" s="16"/>
      <c r="L14" s="14"/>
      <c r="M14" s="14"/>
      <c r="N14" s="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1"/>
    </row>
    <row r="15" ht="36.0" customHeight="1">
      <c r="A15" s="4"/>
      <c r="B15" s="5"/>
      <c r="C15" s="13" t="s">
        <v>4</v>
      </c>
      <c r="D15" s="14"/>
      <c r="E15" s="15" t="s">
        <v>5</v>
      </c>
      <c r="F15" s="14"/>
      <c r="G15" s="14"/>
      <c r="H15" s="5"/>
      <c r="I15" s="13" t="s">
        <v>6</v>
      </c>
      <c r="J15" s="14"/>
      <c r="K15" s="16"/>
      <c r="L15" s="14"/>
      <c r="M15" s="14"/>
      <c r="N15" s="5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1"/>
    </row>
    <row r="16" ht="19.5" customHeight="1">
      <c r="A16" s="4"/>
      <c r="B16" s="5"/>
      <c r="C16" s="13" t="s">
        <v>7</v>
      </c>
      <c r="D16" s="14"/>
      <c r="E16" s="16"/>
      <c r="F16" s="14"/>
      <c r="G16" s="14"/>
      <c r="H16" s="5"/>
      <c r="I16" s="13" t="s">
        <v>8</v>
      </c>
      <c r="J16" s="14"/>
      <c r="K16" s="17"/>
      <c r="L16" s="14"/>
      <c r="M16" s="14"/>
      <c r="N16" s="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11"/>
    </row>
    <row r="17" ht="16.5" customHeight="1">
      <c r="A17" s="4"/>
      <c r="B17" s="5"/>
      <c r="C17" s="13" t="s">
        <v>6</v>
      </c>
      <c r="D17" s="14"/>
      <c r="E17" s="16" t="s">
        <v>9</v>
      </c>
      <c r="F17" s="14"/>
      <c r="G17" s="14"/>
      <c r="H17" s="5"/>
      <c r="I17" s="13" t="s">
        <v>10</v>
      </c>
      <c r="J17" s="14"/>
      <c r="K17" s="16"/>
      <c r="L17" s="14"/>
      <c r="M17" s="14"/>
      <c r="N17" s="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1"/>
    </row>
    <row r="18" ht="16.5" customHeight="1">
      <c r="A18" s="4"/>
      <c r="B18" s="5"/>
      <c r="C18" s="13" t="s">
        <v>11</v>
      </c>
      <c r="D18" s="14"/>
      <c r="E18" s="17"/>
      <c r="F18" s="14"/>
      <c r="G18" s="14"/>
      <c r="H18" s="5"/>
      <c r="I18" s="13" t="s">
        <v>6</v>
      </c>
      <c r="J18" s="14"/>
      <c r="K18" s="16"/>
      <c r="L18" s="14"/>
      <c r="M18" s="14"/>
      <c r="N18" s="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1"/>
    </row>
    <row r="19" ht="12.75" customHeight="1">
      <c r="A19" s="4"/>
      <c r="B19" s="5"/>
      <c r="C19" s="13" t="s">
        <v>12</v>
      </c>
      <c r="D19" s="14"/>
      <c r="E19" s="16" t="s">
        <v>13</v>
      </c>
      <c r="F19" s="14"/>
      <c r="G19" s="14"/>
      <c r="H19" s="5"/>
      <c r="I19" s="13" t="s">
        <v>14</v>
      </c>
      <c r="J19" s="14"/>
      <c r="K19" s="17"/>
      <c r="L19" s="14"/>
      <c r="M19" s="14"/>
      <c r="N19" s="5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11"/>
    </row>
    <row r="20" ht="12.0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11"/>
    </row>
    <row r="21" ht="12.0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1"/>
    </row>
    <row r="22" ht="9.7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1"/>
    </row>
    <row r="23" ht="15.75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7"/>
    </row>
    <row r="24" ht="15.75" customHeight="1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7"/>
    </row>
    <row r="25" ht="15.75" customHeight="1">
      <c r="A25" s="18"/>
      <c r="B25" s="19"/>
      <c r="C25" s="19"/>
      <c r="D25" s="19"/>
      <c r="E25" s="19"/>
      <c r="F25" s="19"/>
      <c r="G25" s="19"/>
      <c r="H25" s="19"/>
      <c r="I25" s="19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7"/>
    </row>
    <row r="26" ht="15.75" customHeight="1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7"/>
    </row>
    <row r="27" ht="15.75" customHeight="1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7"/>
    </row>
    <row r="28" ht="15.75" customHeight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7"/>
    </row>
    <row r="29" ht="15.75" customHeight="1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7"/>
    </row>
    <row r="30" ht="15.75" customHeight="1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7"/>
    </row>
    <row r="31" ht="15.75" customHeight="1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7"/>
    </row>
    <row r="32" ht="15.75" customHeight="1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7"/>
    </row>
    <row r="33" ht="15.75" customHeight="1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7"/>
    </row>
    <row r="34" ht="15.75" customHeight="1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7"/>
    </row>
    <row r="35" ht="15.75" customHeight="1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7"/>
    </row>
    <row r="36" ht="15.75" customHeight="1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7"/>
    </row>
    <row r="37" ht="15.75" customHeight="1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7"/>
    </row>
    <row r="38" ht="15.75" customHeight="1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7"/>
    </row>
    <row r="39" ht="15.75" customHeight="1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7"/>
    </row>
    <row r="40" ht="15.75" customHeight="1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7"/>
    </row>
    <row r="41" ht="15.75" customHeigh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7"/>
    </row>
    <row r="42" ht="15.75" customHeight="1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7"/>
    </row>
    <row r="43" ht="15.75" customHeight="1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7"/>
    </row>
    <row r="44" ht="15.75" customHeight="1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7"/>
    </row>
    <row r="45" ht="15.75" customHeight="1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7"/>
    </row>
    <row r="46" ht="15.75" customHeight="1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7"/>
    </row>
    <row r="47" ht="15.75" customHeight="1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7"/>
    </row>
    <row r="48" ht="15.75" customHeight="1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7"/>
    </row>
    <row r="49" ht="15.75" customHeight="1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7"/>
    </row>
    <row r="50" ht="15.75" customHeight="1">
      <c r="A50" s="18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7"/>
    </row>
    <row r="51" ht="15.75" customHeight="1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7"/>
    </row>
    <row r="52" ht="15.75" customHeight="1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7"/>
    </row>
    <row r="53" ht="15.75" customHeight="1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7"/>
    </row>
    <row r="54" ht="15.75" customHeight="1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7"/>
    </row>
    <row r="55" ht="15.75" customHeight="1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7"/>
    </row>
    <row r="56" ht="15.75" customHeight="1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7"/>
    </row>
    <row r="57" ht="15.75" customHeight="1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7"/>
    </row>
    <row r="58" ht="15.75" customHeight="1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7"/>
    </row>
    <row r="59" ht="15.75" customHeight="1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7"/>
    </row>
    <row r="60" ht="15.75" customHeight="1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7"/>
    </row>
    <row r="61" ht="15.75" customHeight="1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7"/>
    </row>
    <row r="62" ht="15.75" customHeight="1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7"/>
    </row>
    <row r="63" ht="15.75" customHeight="1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7"/>
    </row>
    <row r="64" ht="15.75" customHeight="1">
      <c r="A64" s="18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7"/>
    </row>
    <row r="65" ht="15.75" customHeight="1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7"/>
    </row>
    <row r="66" ht="15.75" customHeight="1">
      <c r="A66" s="18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7"/>
    </row>
    <row r="67" ht="15.75" customHeight="1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7"/>
    </row>
    <row r="68" ht="15.75" customHeight="1">
      <c r="A68" s="1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7"/>
    </row>
    <row r="69" ht="15.75" customHeight="1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7"/>
    </row>
    <row r="70" ht="15.75" customHeight="1">
      <c r="A70" s="18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7"/>
    </row>
    <row r="71" ht="15.75" customHeight="1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7"/>
    </row>
    <row r="72" ht="15.75" customHeight="1">
      <c r="A72" s="18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7"/>
    </row>
    <row r="73" ht="15.75" customHeight="1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7"/>
    </row>
    <row r="74" ht="15.75" customHeight="1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7"/>
    </row>
    <row r="75" ht="15.75" customHeight="1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7"/>
    </row>
    <row r="76" ht="15.75" customHeight="1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7"/>
    </row>
    <row r="77" ht="15.75" customHeight="1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7"/>
    </row>
    <row r="78" ht="15.75" customHeight="1">
      <c r="A78" s="1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7"/>
    </row>
    <row r="79" ht="15.75" customHeight="1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7"/>
    </row>
    <row r="80" ht="15.75" customHeight="1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7"/>
    </row>
    <row r="81" ht="15.75" customHeight="1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7"/>
    </row>
    <row r="82" ht="15.75" customHeight="1">
      <c r="A82" s="18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7"/>
    </row>
    <row r="83" ht="15.75" customHeight="1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7"/>
    </row>
    <row r="84" ht="15.75" customHeight="1">
      <c r="A84" s="18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7"/>
    </row>
    <row r="85" ht="15.75" customHeight="1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7"/>
    </row>
    <row r="86" ht="15.75" customHeight="1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7"/>
    </row>
    <row r="87" ht="15.75" customHeight="1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7"/>
    </row>
    <row r="88" ht="15.75" customHeight="1">
      <c r="A88" s="1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7"/>
    </row>
    <row r="89" ht="15.75" customHeight="1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7"/>
    </row>
    <row r="90" ht="15.75" customHeight="1">
      <c r="A90" s="18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7"/>
    </row>
    <row r="91" ht="15.75" customHeight="1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7"/>
    </row>
    <row r="92" ht="15.75" customHeight="1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7"/>
    </row>
    <row r="93" ht="15.75" customHeight="1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7"/>
    </row>
    <row r="94" ht="15.75" customHeight="1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7"/>
    </row>
    <row r="95" ht="15.75" customHeight="1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7"/>
    </row>
    <row r="96" ht="15.75" customHeight="1">
      <c r="A96" s="18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7"/>
    </row>
    <row r="97" ht="15.75" customHeight="1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7"/>
    </row>
    <row r="98" ht="15.75" customHeight="1">
      <c r="A98" s="18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7"/>
    </row>
    <row r="99" ht="15.75" customHeight="1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7"/>
    </row>
    <row r="100" ht="15.75" customHeight="1">
      <c r="A100" s="18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7"/>
    </row>
    <row r="101" ht="15.75" customHeight="1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7"/>
    </row>
    <row r="102" ht="15.75" customHeight="1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7"/>
    </row>
    <row r="103" ht="15.75" customHeight="1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7"/>
    </row>
    <row r="104" ht="15.75" customHeight="1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7"/>
    </row>
    <row r="105" ht="15.75" customHeight="1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7"/>
    </row>
    <row r="106" ht="15.75" customHeight="1">
      <c r="A106" s="18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7"/>
    </row>
    <row r="107" ht="15.75" customHeight="1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7"/>
    </row>
    <row r="108" ht="15.75" customHeight="1">
      <c r="A108" s="18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7"/>
    </row>
    <row r="109" ht="15.75" customHeight="1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7"/>
    </row>
    <row r="110" ht="15.75" customHeight="1">
      <c r="A110" s="18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7"/>
    </row>
    <row r="111" ht="15.75" customHeight="1">
      <c r="A111" s="18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7"/>
    </row>
    <row r="112" ht="15.75" customHeight="1">
      <c r="A112" s="18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7"/>
    </row>
    <row r="113" ht="15.75" customHeight="1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7"/>
    </row>
    <row r="114" ht="15.75" customHeight="1">
      <c r="A114" s="18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7"/>
    </row>
    <row r="115" ht="15.75" customHeight="1">
      <c r="A115" s="18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7"/>
    </row>
    <row r="116" ht="15.75" customHeight="1">
      <c r="A116" s="18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7"/>
    </row>
    <row r="117" ht="15.75" customHeight="1">
      <c r="A117" s="18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7"/>
    </row>
    <row r="118" ht="15.75" customHeight="1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7"/>
    </row>
    <row r="119" ht="15.75" customHeight="1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7"/>
    </row>
    <row r="120" ht="15.75" customHeight="1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7"/>
    </row>
    <row r="121" ht="15.75" customHeight="1">
      <c r="A121" s="18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7"/>
    </row>
    <row r="122" ht="15.75" customHeight="1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7"/>
    </row>
    <row r="123" ht="15.75" customHeight="1">
      <c r="A123" s="18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7"/>
    </row>
    <row r="124" ht="15.75" customHeight="1">
      <c r="A124" s="18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7"/>
    </row>
    <row r="125" ht="15.75" customHeight="1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7"/>
    </row>
    <row r="126" ht="15.75" customHeight="1">
      <c r="A126" s="18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7"/>
    </row>
    <row r="127" ht="15.75" customHeight="1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7"/>
    </row>
    <row r="128" ht="15.75" customHeight="1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7"/>
    </row>
    <row r="129" ht="15.75" customHeight="1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7"/>
    </row>
    <row r="130" ht="15.75" customHeight="1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7"/>
    </row>
    <row r="131" ht="15.75" customHeight="1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7"/>
    </row>
    <row r="132" ht="15.75" customHeight="1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7"/>
    </row>
    <row r="133" ht="15.75" customHeight="1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7"/>
    </row>
    <row r="134" ht="15.75" customHeight="1">
      <c r="A134" s="18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7"/>
    </row>
    <row r="135" ht="15.75" customHeight="1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7"/>
    </row>
    <row r="136" ht="15.75" customHeight="1">
      <c r="A136" s="18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7"/>
    </row>
    <row r="137" ht="15.75" customHeight="1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7"/>
    </row>
    <row r="138" ht="15.75" customHeight="1">
      <c r="A138" s="18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7"/>
    </row>
    <row r="139" ht="15.75" customHeight="1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7"/>
    </row>
    <row r="140" ht="15.75" customHeight="1">
      <c r="A140" s="1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7"/>
    </row>
    <row r="141" ht="15.75" customHeight="1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7"/>
    </row>
    <row r="142" ht="15.75" customHeight="1">
      <c r="A142" s="18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7"/>
    </row>
    <row r="143" ht="15.75" customHeight="1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7"/>
    </row>
    <row r="144" ht="15.75" customHeight="1">
      <c r="A144" s="1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7"/>
    </row>
    <row r="145" ht="15.75" customHeight="1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7"/>
    </row>
    <row r="146" ht="15.75" customHeight="1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7"/>
    </row>
    <row r="147" ht="15.75" customHeight="1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7"/>
    </row>
    <row r="148" ht="15.75" customHeight="1">
      <c r="A148" s="18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7"/>
    </row>
    <row r="149" ht="15.75" customHeight="1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7"/>
    </row>
    <row r="150" ht="15.75" customHeight="1">
      <c r="A150" s="18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7"/>
    </row>
    <row r="151" ht="15.75" customHeight="1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7"/>
    </row>
    <row r="152" ht="15.75" customHeight="1">
      <c r="A152" s="18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7"/>
    </row>
    <row r="153" ht="15.75" customHeight="1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7"/>
    </row>
    <row r="154" ht="15.75" customHeight="1">
      <c r="A154" s="18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7"/>
    </row>
    <row r="155" ht="15.75" customHeight="1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7"/>
    </row>
    <row r="156" ht="15.75" customHeight="1">
      <c r="A156" s="18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7"/>
    </row>
    <row r="157" ht="15.75" customHeight="1">
      <c r="A157" s="18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7"/>
    </row>
    <row r="158" ht="15.75" customHeight="1">
      <c r="A158" s="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7"/>
    </row>
    <row r="159" ht="15.75" customHeight="1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7"/>
    </row>
    <row r="160" ht="15.75" customHeight="1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7"/>
    </row>
    <row r="161" ht="15.75" customHeight="1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7"/>
    </row>
    <row r="162" ht="15.75" customHeight="1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7"/>
    </row>
    <row r="163" ht="15.75" customHeight="1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7"/>
    </row>
    <row r="164" ht="15.75" customHeight="1">
      <c r="A164" s="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7"/>
    </row>
    <row r="165" ht="15.75" customHeight="1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7"/>
    </row>
    <row r="166" ht="15.75" customHeight="1">
      <c r="A166" s="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7"/>
    </row>
    <row r="167" ht="15.75" customHeight="1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7"/>
    </row>
    <row r="168" ht="15.75" customHeight="1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7"/>
    </row>
    <row r="169" ht="15.75" customHeight="1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7"/>
    </row>
    <row r="170" ht="15.75" customHeight="1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7"/>
    </row>
    <row r="171" ht="15.75" customHeight="1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7"/>
    </row>
    <row r="172" ht="15.75" customHeight="1">
      <c r="A172" s="18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7"/>
    </row>
    <row r="173" ht="15.75" customHeight="1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7"/>
    </row>
    <row r="174" ht="15.75" customHeight="1">
      <c r="A174" s="18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7"/>
    </row>
    <row r="175" ht="15.75" customHeight="1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7"/>
    </row>
    <row r="176" ht="15.75" customHeight="1">
      <c r="A176" s="18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7"/>
    </row>
    <row r="177" ht="15.75" customHeight="1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7"/>
    </row>
    <row r="178" ht="15.75" customHeight="1">
      <c r="A178" s="18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7"/>
    </row>
    <row r="179" ht="15.75" customHeight="1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7"/>
    </row>
    <row r="180" ht="15.75" customHeight="1">
      <c r="A180" s="18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7"/>
    </row>
    <row r="181" ht="15.75" customHeight="1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7"/>
    </row>
    <row r="182" ht="15.75" customHeight="1">
      <c r="A182" s="18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7"/>
    </row>
    <row r="183" ht="15.75" customHeight="1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7"/>
    </row>
    <row r="184" ht="15.75" customHeight="1">
      <c r="A184" s="18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7"/>
    </row>
    <row r="185" ht="15.75" customHeight="1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7"/>
    </row>
    <row r="186" ht="15.75" customHeight="1">
      <c r="A186" s="18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7"/>
    </row>
    <row r="187" ht="15.75" customHeight="1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7"/>
    </row>
    <row r="188" ht="15.75" customHeight="1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7"/>
    </row>
    <row r="189" ht="15.75" customHeight="1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7"/>
    </row>
    <row r="190" ht="15.75" customHeight="1">
      <c r="A190" s="18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7"/>
    </row>
    <row r="191" ht="15.75" customHeight="1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7"/>
    </row>
    <row r="192" ht="15.75" customHeight="1">
      <c r="A192" s="18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7"/>
    </row>
    <row r="193" ht="15.75" customHeight="1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7"/>
    </row>
    <row r="194" ht="15.75" customHeight="1">
      <c r="A194" s="18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7"/>
    </row>
    <row r="195" ht="15.75" customHeight="1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7"/>
    </row>
    <row r="196" ht="15.75" customHeight="1">
      <c r="A196" s="18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7"/>
    </row>
    <row r="197" ht="15.75" customHeight="1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7"/>
    </row>
    <row r="198" ht="15.75" customHeight="1">
      <c r="A198" s="18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7"/>
    </row>
    <row r="199" ht="15.75" customHeight="1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7"/>
    </row>
    <row r="200" ht="15.75" customHeight="1">
      <c r="A200" s="18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7"/>
    </row>
    <row r="201" ht="15.75" customHeight="1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7"/>
    </row>
    <row r="202" ht="15.75" customHeight="1">
      <c r="A202" s="18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7"/>
    </row>
    <row r="203" ht="15.75" customHeight="1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7"/>
    </row>
    <row r="204" ht="15.75" customHeight="1">
      <c r="A204" s="18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7"/>
    </row>
    <row r="205" ht="15.75" customHeight="1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7"/>
    </row>
    <row r="206" ht="15.75" customHeight="1">
      <c r="A206" s="18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7"/>
    </row>
    <row r="207" ht="15.75" customHeight="1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7"/>
    </row>
    <row r="208" ht="15.75" customHeight="1">
      <c r="A208" s="18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7"/>
    </row>
    <row r="209" ht="15.75" customHeight="1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7"/>
    </row>
    <row r="210" ht="15.75" customHeight="1">
      <c r="A210" s="18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7"/>
    </row>
    <row r="211" ht="15.75" customHeight="1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7"/>
    </row>
    <row r="212" ht="15.75" customHeight="1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7"/>
    </row>
    <row r="213" ht="15.75" customHeight="1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7"/>
    </row>
    <row r="214" ht="15.75" customHeight="1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7"/>
    </row>
    <row r="215" ht="15.75" customHeight="1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7"/>
    </row>
    <row r="216" ht="15.75" customHeight="1">
      <c r="A216" s="18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7"/>
    </row>
    <row r="217" ht="15.75" customHeight="1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7"/>
    </row>
    <row r="218" ht="15.75" customHeight="1">
      <c r="A218" s="18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7"/>
    </row>
    <row r="219" ht="15.75" customHeight="1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7"/>
    </row>
    <row r="220" ht="15.75" customHeight="1">
      <c r="A220" s="18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7"/>
    </row>
    <row r="221" ht="15.75" customHeight="1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7"/>
    </row>
    <row r="222" ht="15.75" customHeight="1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7"/>
    </row>
    <row r="223" ht="15.75" customHeight="1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7"/>
    </row>
    <row r="224" ht="15.75" customHeight="1">
      <c r="A224" s="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7"/>
    </row>
    <row r="225" ht="15.75" customHeight="1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7"/>
    </row>
    <row r="226" ht="15.75" customHeight="1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7"/>
    </row>
    <row r="227" ht="15.75" customHeight="1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7"/>
    </row>
    <row r="228" ht="15.75" customHeight="1">
      <c r="A228" s="18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7"/>
    </row>
    <row r="229" ht="15.75" customHeight="1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7"/>
    </row>
    <row r="230" ht="15.75" customHeight="1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7"/>
    </row>
    <row r="231" ht="15.75" customHeight="1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7"/>
    </row>
    <row r="232" ht="15.75" customHeight="1">
      <c r="A232" s="18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7"/>
    </row>
    <row r="233" ht="15.75" customHeight="1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7"/>
    </row>
    <row r="234" ht="15.75" customHeight="1">
      <c r="A234" s="18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7"/>
    </row>
    <row r="235" ht="15.75" customHeight="1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7"/>
    </row>
    <row r="236" ht="15.75" customHeight="1">
      <c r="A236" s="18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7"/>
    </row>
    <row r="237" ht="15.75" customHeight="1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7"/>
    </row>
    <row r="238" ht="15.75" customHeight="1">
      <c r="A238" s="18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7"/>
    </row>
    <row r="239" ht="15.75" customHeight="1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7"/>
    </row>
    <row r="240" ht="15.75" customHeight="1">
      <c r="A240" s="18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7"/>
    </row>
    <row r="241" ht="15.75" customHeight="1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7"/>
    </row>
    <row r="242" ht="15.75" customHeight="1">
      <c r="A242" s="18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7"/>
    </row>
    <row r="243" ht="15.75" customHeight="1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7"/>
    </row>
    <row r="244" ht="15.75" customHeight="1">
      <c r="A244" s="18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7"/>
    </row>
    <row r="245" ht="15.75" customHeight="1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7"/>
    </row>
    <row r="246" ht="15.75" customHeight="1">
      <c r="A246" s="18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7"/>
    </row>
    <row r="247" ht="15.75" customHeight="1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7"/>
    </row>
    <row r="248" ht="15.75" customHeight="1">
      <c r="A248" s="18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7"/>
    </row>
    <row r="249" ht="15.75" customHeight="1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7"/>
    </row>
    <row r="250" ht="15.75" customHeight="1">
      <c r="A250" s="18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7"/>
    </row>
    <row r="251" ht="15.75" customHeight="1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7"/>
    </row>
    <row r="252" ht="15.75" customHeight="1">
      <c r="A252" s="18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7"/>
    </row>
    <row r="253" ht="15.75" customHeight="1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7"/>
    </row>
    <row r="254" ht="15.75" customHeight="1">
      <c r="A254" s="18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7"/>
    </row>
    <row r="255" ht="15.75" customHeight="1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7"/>
    </row>
    <row r="256" ht="15.75" customHeight="1">
      <c r="A256" s="18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7"/>
    </row>
    <row r="257" ht="15.75" customHeight="1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7"/>
    </row>
    <row r="258" ht="15.75" customHeight="1">
      <c r="A258" s="18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7"/>
    </row>
    <row r="259" ht="15.75" customHeight="1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7"/>
    </row>
    <row r="260" ht="15.75" customHeight="1">
      <c r="A260" s="18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7"/>
    </row>
    <row r="261" ht="15.75" customHeight="1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7"/>
    </row>
    <row r="262" ht="15.75" customHeight="1">
      <c r="A262" s="18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7"/>
    </row>
    <row r="263" ht="15.75" customHeight="1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7"/>
    </row>
    <row r="264" ht="15.75" customHeight="1">
      <c r="A264" s="18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7"/>
    </row>
    <row r="265" ht="15.75" customHeight="1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7"/>
    </row>
    <row r="266" ht="15.75" customHeight="1">
      <c r="A266" s="18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7"/>
    </row>
    <row r="267" ht="15.75" customHeight="1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7"/>
    </row>
    <row r="268" ht="15.75" customHeight="1">
      <c r="A268" s="18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7"/>
    </row>
    <row r="269" ht="15.75" customHeight="1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7"/>
    </row>
    <row r="270" ht="15.75" customHeight="1">
      <c r="A270" s="18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7"/>
    </row>
    <row r="271" ht="15.75" customHeight="1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7"/>
    </row>
    <row r="272" ht="15.75" customHeight="1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7"/>
    </row>
    <row r="273" ht="15.75" customHeight="1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7"/>
    </row>
    <row r="274" ht="15.75" customHeight="1">
      <c r="A274" s="18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7"/>
    </row>
    <row r="275" ht="15.75" customHeight="1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7"/>
    </row>
    <row r="276" ht="15.75" customHeight="1">
      <c r="A276" s="18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7"/>
    </row>
    <row r="277" ht="15.75" customHeight="1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7"/>
    </row>
    <row r="278" ht="15.75" customHeight="1">
      <c r="A278" s="18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7"/>
    </row>
    <row r="279" ht="15.75" customHeight="1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7"/>
    </row>
    <row r="280" ht="15.75" customHeight="1">
      <c r="A280" s="18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7"/>
    </row>
    <row r="281" ht="15.75" customHeight="1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7"/>
    </row>
    <row r="282" ht="15.75" customHeight="1">
      <c r="A282" s="18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7"/>
    </row>
    <row r="283" ht="15.75" customHeight="1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7"/>
    </row>
    <row r="284" ht="15.75" customHeight="1">
      <c r="A284" s="18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7"/>
    </row>
    <row r="285" ht="15.75" customHeight="1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7"/>
    </row>
    <row r="286" ht="15.75" customHeight="1">
      <c r="A286" s="18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7"/>
    </row>
    <row r="287" ht="15.75" customHeight="1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7"/>
    </row>
    <row r="288" ht="15.75" customHeight="1">
      <c r="A288" s="18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7"/>
    </row>
    <row r="289" ht="15.75" customHeight="1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7"/>
    </row>
    <row r="290" ht="15.75" customHeight="1">
      <c r="A290" s="18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7"/>
    </row>
    <row r="291" ht="15.75" customHeight="1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7"/>
    </row>
    <row r="292" ht="15.75" customHeight="1">
      <c r="A292" s="18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7"/>
    </row>
    <row r="293" ht="15.75" customHeight="1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7"/>
    </row>
    <row r="294" ht="15.75" customHeight="1">
      <c r="A294" s="18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7"/>
    </row>
    <row r="295" ht="15.75" customHeight="1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7"/>
    </row>
    <row r="296" ht="15.75" customHeight="1">
      <c r="A296" s="18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7"/>
    </row>
    <row r="297" ht="15.75" customHeight="1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7"/>
    </row>
    <row r="298" ht="15.75" customHeight="1">
      <c r="A298" s="18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7"/>
    </row>
    <row r="299" ht="15.75" customHeight="1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7"/>
    </row>
    <row r="300" ht="15.75" customHeight="1">
      <c r="A300" s="18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7"/>
    </row>
    <row r="301" ht="15.75" customHeight="1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7"/>
    </row>
    <row r="302" ht="15.75" customHeight="1">
      <c r="A302" s="18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7"/>
    </row>
    <row r="303" ht="15.75" customHeight="1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7"/>
    </row>
    <row r="304" ht="15.75" customHeight="1">
      <c r="A304" s="18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7"/>
    </row>
    <row r="305" ht="15.75" customHeight="1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7"/>
    </row>
    <row r="306" ht="15.75" customHeight="1">
      <c r="A306" s="18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7"/>
    </row>
    <row r="307" ht="15.75" customHeight="1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7"/>
    </row>
    <row r="308" ht="15.75" customHeight="1">
      <c r="A308" s="18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7"/>
    </row>
    <row r="309" ht="15.75" customHeight="1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7"/>
    </row>
    <row r="310" ht="15.75" customHeight="1">
      <c r="A310" s="18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7"/>
    </row>
    <row r="311" ht="15.75" customHeight="1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7"/>
    </row>
    <row r="312" ht="15.75" customHeight="1">
      <c r="A312" s="18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7"/>
    </row>
    <row r="313" ht="15.75" customHeight="1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7"/>
    </row>
    <row r="314" ht="15.75" customHeight="1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7"/>
    </row>
    <row r="315" ht="15.75" customHeight="1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7"/>
    </row>
    <row r="316" ht="15.75" customHeight="1">
      <c r="A316" s="18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7"/>
    </row>
    <row r="317" ht="15.75" customHeight="1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7"/>
    </row>
    <row r="318" ht="15.75" customHeight="1">
      <c r="A318" s="18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7"/>
    </row>
    <row r="319" ht="15.75" customHeight="1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7"/>
    </row>
    <row r="320" ht="15.75" customHeight="1">
      <c r="A320" s="18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7"/>
    </row>
    <row r="321" ht="15.75" customHeight="1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7"/>
    </row>
    <row r="322" ht="15.75" customHeight="1">
      <c r="A322" s="18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7"/>
    </row>
    <row r="323" ht="15.75" customHeight="1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7"/>
    </row>
    <row r="324" ht="15.75" customHeight="1">
      <c r="A324" s="18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7"/>
    </row>
    <row r="325" ht="15.75" customHeight="1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7"/>
    </row>
    <row r="326" ht="15.75" customHeight="1">
      <c r="A326" s="18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7"/>
    </row>
    <row r="327" ht="15.75" customHeight="1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7"/>
    </row>
    <row r="328" ht="15.75" customHeight="1">
      <c r="A328" s="18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7"/>
    </row>
    <row r="329" ht="15.75" customHeight="1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7"/>
    </row>
    <row r="330" ht="15.75" customHeight="1">
      <c r="A330" s="18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7"/>
    </row>
    <row r="331" ht="15.75" customHeight="1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7"/>
    </row>
    <row r="332" ht="15.75" customHeight="1">
      <c r="A332" s="18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7"/>
    </row>
    <row r="333" ht="15.75" customHeight="1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7"/>
    </row>
    <row r="334" ht="15.75" customHeight="1">
      <c r="A334" s="18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7"/>
    </row>
    <row r="335" ht="15.75" customHeight="1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7"/>
    </row>
    <row r="336" ht="15.75" customHeight="1">
      <c r="A336" s="18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7"/>
    </row>
    <row r="337" ht="15.75" customHeight="1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7"/>
    </row>
    <row r="338" ht="15.75" customHeight="1">
      <c r="A338" s="18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7"/>
    </row>
    <row r="339" ht="15.75" customHeight="1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7"/>
    </row>
    <row r="340" ht="15.75" customHeight="1">
      <c r="A340" s="18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7"/>
    </row>
    <row r="341" ht="15.75" customHeight="1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7"/>
    </row>
    <row r="342" ht="15.75" customHeight="1">
      <c r="A342" s="18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7"/>
    </row>
    <row r="343" ht="15.75" customHeight="1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7"/>
    </row>
    <row r="344" ht="15.75" customHeight="1">
      <c r="A344" s="18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7"/>
    </row>
    <row r="345" ht="15.75" customHeight="1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7"/>
    </row>
    <row r="346" ht="15.75" customHeight="1">
      <c r="A346" s="18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7"/>
    </row>
    <row r="347" ht="15.75" customHeight="1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7"/>
    </row>
    <row r="348" ht="15.75" customHeight="1">
      <c r="A348" s="18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7"/>
    </row>
    <row r="349" ht="15.75" customHeight="1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7"/>
    </row>
    <row r="350" ht="15.75" customHeight="1">
      <c r="A350" s="18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7"/>
    </row>
    <row r="351" ht="15.75" customHeight="1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7"/>
    </row>
    <row r="352" ht="15.75" customHeight="1">
      <c r="A352" s="18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7"/>
    </row>
    <row r="353" ht="15.75" customHeight="1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7"/>
    </row>
    <row r="354" ht="15.75" customHeight="1">
      <c r="A354" s="18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7"/>
    </row>
    <row r="355" ht="15.75" customHeight="1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7"/>
    </row>
    <row r="356" ht="15.75" customHeight="1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7"/>
    </row>
    <row r="357" ht="15.75" customHeight="1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7"/>
    </row>
    <row r="358" ht="15.75" customHeight="1">
      <c r="A358" s="18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7"/>
    </row>
    <row r="359" ht="15.75" customHeight="1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7"/>
    </row>
    <row r="360" ht="15.75" customHeight="1">
      <c r="A360" s="18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7"/>
    </row>
    <row r="361" ht="15.75" customHeight="1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7"/>
    </row>
    <row r="362" ht="15.75" customHeight="1">
      <c r="A362" s="18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7"/>
    </row>
    <row r="363" ht="15.75" customHeight="1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7"/>
    </row>
    <row r="364" ht="15.75" customHeight="1">
      <c r="A364" s="18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7"/>
    </row>
    <row r="365" ht="15.75" customHeight="1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7"/>
    </row>
    <row r="366" ht="15.75" customHeight="1">
      <c r="A366" s="18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7"/>
    </row>
    <row r="367" ht="15.75" customHeight="1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7"/>
    </row>
    <row r="368" ht="15.75" customHeight="1">
      <c r="A368" s="18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7"/>
    </row>
    <row r="369" ht="15.75" customHeight="1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7"/>
    </row>
    <row r="370" ht="15.75" customHeight="1">
      <c r="A370" s="18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7"/>
    </row>
    <row r="371" ht="15.75" customHeight="1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7"/>
    </row>
    <row r="372" ht="15.75" customHeight="1">
      <c r="A372" s="18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7"/>
    </row>
    <row r="373" ht="15.75" customHeight="1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7"/>
    </row>
    <row r="374" ht="15.75" customHeight="1">
      <c r="A374" s="18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7"/>
    </row>
    <row r="375" ht="15.75" customHeight="1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7"/>
    </row>
    <row r="376" ht="15.75" customHeight="1">
      <c r="A376" s="18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7"/>
    </row>
    <row r="377" ht="15.75" customHeight="1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7"/>
    </row>
    <row r="378" ht="15.75" customHeight="1">
      <c r="A378" s="18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7"/>
    </row>
    <row r="379" ht="15.75" customHeight="1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7"/>
    </row>
    <row r="380" ht="15.75" customHeight="1">
      <c r="A380" s="18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7"/>
    </row>
    <row r="381" ht="15.75" customHeight="1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7"/>
    </row>
    <row r="382" ht="15.75" customHeight="1">
      <c r="A382" s="1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7"/>
    </row>
    <row r="383" ht="15.75" customHeight="1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7"/>
    </row>
    <row r="384" ht="15.75" customHeight="1">
      <c r="A384" s="1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7"/>
    </row>
    <row r="385" ht="15.75" customHeight="1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7"/>
    </row>
    <row r="386" ht="15.75" customHeight="1">
      <c r="A386" s="1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7"/>
    </row>
    <row r="387" ht="15.75" customHeight="1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7"/>
    </row>
    <row r="388" ht="15.75" customHeight="1">
      <c r="A388" s="1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7"/>
    </row>
    <row r="389" ht="15.75" customHeight="1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7"/>
    </row>
    <row r="390" ht="15.75" customHeight="1">
      <c r="A390" s="1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7"/>
    </row>
    <row r="391" ht="15.75" customHeight="1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7"/>
    </row>
    <row r="392" ht="15.75" customHeight="1">
      <c r="A392" s="1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7"/>
    </row>
    <row r="393" ht="15.75" customHeight="1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7"/>
    </row>
    <row r="394" ht="15.75" customHeight="1">
      <c r="A394" s="1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7"/>
    </row>
    <row r="395" ht="15.75" customHeight="1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7"/>
    </row>
    <row r="396" ht="15.75" customHeight="1">
      <c r="A396" s="1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7"/>
    </row>
    <row r="397" ht="15.75" customHeight="1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7"/>
    </row>
    <row r="398" ht="15.75" customHeight="1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7"/>
    </row>
    <row r="399" ht="15.75" customHeight="1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7"/>
    </row>
    <row r="400" ht="15.75" customHeight="1">
      <c r="A400" s="1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7"/>
    </row>
    <row r="401" ht="15.75" customHeight="1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7"/>
    </row>
    <row r="402" ht="15.75" customHeight="1">
      <c r="A402" s="1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7"/>
    </row>
    <row r="403" ht="15.75" customHeight="1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7"/>
    </row>
    <row r="404" ht="15.75" customHeight="1">
      <c r="A404" s="1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7"/>
    </row>
    <row r="405" ht="15.75" customHeight="1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7"/>
    </row>
    <row r="406" ht="15.75" customHeight="1">
      <c r="A406" s="1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7"/>
    </row>
    <row r="407" ht="15.75" customHeight="1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7"/>
    </row>
    <row r="408" ht="15.75" customHeight="1">
      <c r="A408" s="1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7"/>
    </row>
    <row r="409" ht="15.75" customHeight="1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7"/>
    </row>
    <row r="410" ht="15.75" customHeight="1">
      <c r="A410" s="1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7"/>
    </row>
    <row r="411" ht="15.75" customHeight="1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7"/>
    </row>
    <row r="412" ht="15.75" customHeight="1">
      <c r="A412" s="1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7"/>
    </row>
    <row r="413" ht="15.75" customHeight="1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7"/>
    </row>
    <row r="414" ht="15.75" customHeight="1">
      <c r="A414" s="1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7"/>
    </row>
    <row r="415" ht="15.75" customHeight="1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7"/>
    </row>
    <row r="416" ht="15.75" customHeight="1">
      <c r="A416" s="1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7"/>
    </row>
    <row r="417" ht="15.75" customHeight="1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7"/>
    </row>
    <row r="418" ht="15.75" customHeight="1">
      <c r="A418" s="1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7"/>
    </row>
    <row r="419" ht="15.75" customHeight="1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7"/>
    </row>
    <row r="420" ht="15.75" customHeight="1">
      <c r="A420" s="1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7"/>
    </row>
    <row r="421" ht="15.75" customHeight="1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7"/>
    </row>
    <row r="422" ht="15.75" customHeight="1">
      <c r="A422" s="1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7"/>
    </row>
    <row r="423" ht="15.75" customHeight="1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7"/>
    </row>
    <row r="424" ht="15.75" customHeight="1">
      <c r="A424" s="1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7"/>
    </row>
    <row r="425" ht="15.75" customHeight="1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7"/>
    </row>
    <row r="426" ht="15.75" customHeight="1">
      <c r="A426" s="1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7"/>
    </row>
    <row r="427" ht="15.75" customHeight="1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7"/>
    </row>
    <row r="428" ht="15.75" customHeight="1">
      <c r="A428" s="1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7"/>
    </row>
    <row r="429" ht="15.75" customHeight="1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7"/>
    </row>
    <row r="430" ht="15.75" customHeight="1">
      <c r="A430" s="1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7"/>
    </row>
    <row r="431" ht="15.75" customHeight="1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7"/>
    </row>
    <row r="432" ht="15.75" customHeight="1">
      <c r="A432" s="1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7"/>
    </row>
    <row r="433" ht="15.75" customHeight="1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7"/>
    </row>
    <row r="434" ht="15.75" customHeight="1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7"/>
    </row>
    <row r="435" ht="15.75" customHeight="1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7"/>
    </row>
    <row r="436" ht="15.75" customHeight="1">
      <c r="A436" s="1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7"/>
    </row>
    <row r="437" ht="15.75" customHeight="1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7"/>
    </row>
    <row r="438" ht="15.75" customHeight="1">
      <c r="A438" s="1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7"/>
    </row>
    <row r="439" ht="15.75" customHeight="1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7"/>
    </row>
    <row r="440" ht="15.75" customHeight="1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7"/>
    </row>
    <row r="441" ht="15.75" customHeight="1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7"/>
    </row>
    <row r="442" ht="15.75" customHeight="1">
      <c r="A442" s="1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7"/>
    </row>
    <row r="443" ht="15.75" customHeight="1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7"/>
    </row>
    <row r="444" ht="15.75" customHeight="1">
      <c r="A444" s="1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7"/>
    </row>
    <row r="445" ht="15.75" customHeight="1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7"/>
    </row>
    <row r="446" ht="15.75" customHeight="1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7"/>
    </row>
    <row r="447" ht="15.75" customHeight="1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7"/>
    </row>
    <row r="448" ht="15.75" customHeight="1">
      <c r="A448" s="1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7"/>
    </row>
    <row r="449" ht="15.75" customHeight="1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7"/>
    </row>
    <row r="450" ht="15.75" customHeight="1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7"/>
    </row>
    <row r="451" ht="15.75" customHeight="1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7"/>
    </row>
    <row r="452" ht="15.75" customHeight="1">
      <c r="A452" s="1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7"/>
    </row>
    <row r="453" ht="15.75" customHeight="1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7"/>
    </row>
    <row r="454" ht="15.75" customHeight="1">
      <c r="A454" s="1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7"/>
    </row>
    <row r="455" ht="15.75" customHeight="1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7"/>
    </row>
    <row r="456" ht="15.75" customHeight="1">
      <c r="A456" s="1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7"/>
    </row>
    <row r="457" ht="15.75" customHeight="1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7"/>
    </row>
    <row r="458" ht="15.75" customHeight="1">
      <c r="A458" s="1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7"/>
    </row>
    <row r="459" ht="15.75" customHeight="1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7"/>
    </row>
    <row r="460" ht="15.75" customHeight="1">
      <c r="A460" s="1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7"/>
    </row>
    <row r="461" ht="15.75" customHeight="1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7"/>
    </row>
    <row r="462" ht="15.75" customHeight="1">
      <c r="A462" s="1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7"/>
    </row>
    <row r="463" ht="15.75" customHeight="1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7"/>
    </row>
    <row r="464" ht="15.75" customHeight="1">
      <c r="A464" s="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7"/>
    </row>
    <row r="465" ht="15.75" customHeight="1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7"/>
    </row>
    <row r="466" ht="15.75" customHeight="1">
      <c r="A466" s="1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7"/>
    </row>
    <row r="467" ht="15.75" customHeight="1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7"/>
    </row>
    <row r="468" ht="15.75" customHeight="1">
      <c r="A468" s="1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7"/>
    </row>
    <row r="469" ht="15.75" customHeight="1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7"/>
    </row>
    <row r="470" ht="15.75" customHeight="1">
      <c r="A470" s="1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7"/>
    </row>
    <row r="471" ht="15.75" customHeight="1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7"/>
    </row>
    <row r="472" ht="15.75" customHeight="1">
      <c r="A472" s="1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7"/>
    </row>
    <row r="473" ht="15.75" customHeight="1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7"/>
    </row>
    <row r="474" ht="15.75" customHeight="1">
      <c r="A474" s="1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7"/>
    </row>
    <row r="475" ht="15.75" customHeight="1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7"/>
    </row>
    <row r="476" ht="15.75" customHeight="1">
      <c r="A476" s="1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7"/>
    </row>
    <row r="477" ht="15.75" customHeight="1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7"/>
    </row>
    <row r="478" ht="15.75" customHeight="1">
      <c r="A478" s="1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7"/>
    </row>
    <row r="479" ht="15.75" customHeight="1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7"/>
    </row>
    <row r="480" ht="15.75" customHeight="1">
      <c r="A480" s="1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7"/>
    </row>
    <row r="481" ht="15.75" customHeight="1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7"/>
    </row>
    <row r="482" ht="15.75" customHeight="1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7"/>
    </row>
    <row r="483" ht="15.75" customHeight="1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7"/>
    </row>
    <row r="484" ht="15.75" customHeight="1">
      <c r="A484" s="1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7"/>
    </row>
    <row r="485" ht="15.75" customHeight="1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7"/>
    </row>
    <row r="486" ht="15.75" customHeight="1">
      <c r="A486" s="1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7"/>
    </row>
    <row r="487" ht="15.75" customHeight="1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7"/>
    </row>
    <row r="488" ht="15.75" customHeight="1">
      <c r="A488" s="1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7"/>
    </row>
    <row r="489" ht="15.75" customHeight="1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7"/>
    </row>
    <row r="490" ht="15.75" customHeight="1">
      <c r="A490" s="1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7"/>
    </row>
    <row r="491" ht="15.75" customHeight="1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7"/>
    </row>
    <row r="492" ht="15.75" customHeight="1">
      <c r="A492" s="1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7"/>
    </row>
    <row r="493" ht="15.75" customHeight="1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7"/>
    </row>
    <row r="494" ht="15.75" customHeight="1">
      <c r="A494" s="1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7"/>
    </row>
    <row r="495" ht="15.75" customHeight="1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7"/>
    </row>
    <row r="496" ht="15.75" customHeight="1">
      <c r="A496" s="1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7"/>
    </row>
    <row r="497" ht="15.75" customHeight="1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7"/>
    </row>
    <row r="498" ht="15.75" customHeight="1">
      <c r="A498" s="1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7"/>
    </row>
    <row r="499" ht="15.75" customHeight="1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7"/>
    </row>
    <row r="500" ht="15.75" customHeight="1">
      <c r="A500" s="1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7"/>
    </row>
    <row r="501" ht="15.75" customHeight="1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7"/>
    </row>
    <row r="502" ht="15.75" customHeight="1">
      <c r="A502" s="1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7"/>
    </row>
    <row r="503" ht="15.75" customHeight="1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7"/>
    </row>
    <row r="504" ht="15.75" customHeight="1">
      <c r="A504" s="1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7"/>
    </row>
    <row r="505" ht="15.75" customHeight="1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7"/>
    </row>
    <row r="506" ht="15.75" customHeight="1">
      <c r="A506" s="1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7"/>
    </row>
    <row r="507" ht="15.75" customHeight="1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7"/>
    </row>
    <row r="508" ht="15.75" customHeight="1">
      <c r="A508" s="1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7"/>
    </row>
    <row r="509" ht="15.75" customHeight="1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7"/>
    </row>
    <row r="510" ht="15.75" customHeight="1">
      <c r="A510" s="1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7"/>
    </row>
    <row r="511" ht="15.75" customHeight="1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7"/>
    </row>
    <row r="512" ht="15.75" customHeight="1">
      <c r="A512" s="1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7"/>
    </row>
    <row r="513" ht="15.75" customHeight="1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7"/>
    </row>
    <row r="514" ht="15.75" customHeight="1">
      <c r="A514" s="1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7"/>
    </row>
    <row r="515" ht="15.75" customHeight="1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7"/>
    </row>
    <row r="516" ht="15.75" customHeight="1">
      <c r="A516" s="1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7"/>
    </row>
    <row r="517" ht="15.75" customHeight="1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7"/>
    </row>
    <row r="518" ht="15.75" customHeight="1">
      <c r="A518" s="1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7"/>
    </row>
    <row r="519" ht="15.75" customHeight="1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7"/>
    </row>
    <row r="520" ht="15.75" customHeight="1">
      <c r="A520" s="1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7"/>
    </row>
    <row r="521" ht="15.75" customHeight="1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7"/>
    </row>
    <row r="522" ht="15.75" customHeight="1">
      <c r="A522" s="1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7"/>
    </row>
    <row r="523" ht="15.75" customHeight="1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7"/>
    </row>
    <row r="524" ht="15.75" customHeight="1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7"/>
    </row>
    <row r="525" ht="15.75" customHeight="1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7"/>
    </row>
    <row r="526" ht="15.75" customHeight="1">
      <c r="A526" s="1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7"/>
    </row>
    <row r="527" ht="15.75" customHeight="1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7"/>
    </row>
    <row r="528" ht="15.75" customHeight="1">
      <c r="A528" s="1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7"/>
    </row>
    <row r="529" ht="15.75" customHeight="1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7"/>
    </row>
    <row r="530" ht="15.75" customHeight="1">
      <c r="A530" s="1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7"/>
    </row>
    <row r="531" ht="15.75" customHeight="1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7"/>
    </row>
    <row r="532" ht="15.75" customHeight="1">
      <c r="A532" s="1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7"/>
    </row>
    <row r="533" ht="15.75" customHeight="1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7"/>
    </row>
    <row r="534" ht="15.75" customHeight="1">
      <c r="A534" s="1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7"/>
    </row>
    <row r="535" ht="15.75" customHeight="1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7"/>
    </row>
    <row r="536" ht="15.75" customHeight="1">
      <c r="A536" s="1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7"/>
    </row>
    <row r="537" ht="15.75" customHeight="1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7"/>
    </row>
    <row r="538" ht="15.75" customHeight="1">
      <c r="A538" s="1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7"/>
    </row>
    <row r="539" ht="15.75" customHeight="1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7"/>
    </row>
    <row r="540" ht="15.75" customHeight="1">
      <c r="A540" s="1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7"/>
    </row>
    <row r="541" ht="15.75" customHeight="1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7"/>
    </row>
    <row r="542" ht="15.75" customHeight="1">
      <c r="A542" s="1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7"/>
    </row>
    <row r="543" ht="15.75" customHeight="1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7"/>
    </row>
    <row r="544" ht="15.75" customHeight="1">
      <c r="A544" s="1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7"/>
    </row>
    <row r="545" ht="15.75" customHeight="1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7"/>
    </row>
    <row r="546" ht="15.75" customHeight="1">
      <c r="A546" s="1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7"/>
    </row>
    <row r="547" ht="15.75" customHeight="1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7"/>
    </row>
    <row r="548" ht="15.75" customHeight="1">
      <c r="A548" s="1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7"/>
    </row>
    <row r="549" ht="15.75" customHeight="1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7"/>
    </row>
    <row r="550" ht="15.75" customHeight="1">
      <c r="A550" s="1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7"/>
    </row>
    <row r="551" ht="15.75" customHeight="1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7"/>
    </row>
    <row r="552" ht="15.75" customHeight="1">
      <c r="A552" s="1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7"/>
    </row>
    <row r="553" ht="15.75" customHeight="1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7"/>
    </row>
    <row r="554" ht="15.75" customHeight="1">
      <c r="A554" s="1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7"/>
    </row>
    <row r="555" ht="15.75" customHeight="1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7"/>
    </row>
    <row r="556" ht="15.75" customHeight="1">
      <c r="A556" s="1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7"/>
    </row>
    <row r="557" ht="15.75" customHeight="1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7"/>
    </row>
    <row r="558" ht="15.75" customHeight="1">
      <c r="A558" s="1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7"/>
    </row>
    <row r="559" ht="15.75" customHeight="1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7"/>
    </row>
    <row r="560" ht="15.75" customHeight="1">
      <c r="A560" s="1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7"/>
    </row>
    <row r="561" ht="15.75" customHeight="1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7"/>
    </row>
    <row r="562" ht="15.75" customHeight="1">
      <c r="A562" s="1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7"/>
    </row>
    <row r="563" ht="15.75" customHeight="1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7"/>
    </row>
    <row r="564" ht="15.75" customHeight="1">
      <c r="A564" s="1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7"/>
    </row>
    <row r="565" ht="15.75" customHeight="1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7"/>
    </row>
    <row r="566" ht="15.75" customHeight="1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7"/>
    </row>
    <row r="567" ht="15.75" customHeight="1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7"/>
    </row>
    <row r="568" ht="15.75" customHeight="1">
      <c r="A568" s="1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7"/>
    </row>
    <row r="569" ht="15.75" customHeight="1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7"/>
    </row>
    <row r="570" ht="15.75" customHeight="1">
      <c r="A570" s="1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7"/>
    </row>
    <row r="571" ht="15.75" customHeight="1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7"/>
    </row>
    <row r="572" ht="15.75" customHeight="1">
      <c r="A572" s="1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7"/>
    </row>
    <row r="573" ht="15.75" customHeight="1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7"/>
    </row>
    <row r="574" ht="15.75" customHeight="1">
      <c r="A574" s="1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7"/>
    </row>
    <row r="575" ht="15.75" customHeight="1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7"/>
    </row>
    <row r="576" ht="15.75" customHeight="1">
      <c r="A576" s="1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7"/>
    </row>
    <row r="577" ht="15.75" customHeight="1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7"/>
    </row>
    <row r="578" ht="15.75" customHeight="1">
      <c r="A578" s="1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7"/>
    </row>
    <row r="579" ht="15.75" customHeight="1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7"/>
    </row>
    <row r="580" ht="15.75" customHeight="1">
      <c r="A580" s="1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7"/>
    </row>
    <row r="581" ht="15.75" customHeight="1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7"/>
    </row>
    <row r="582" ht="15.75" customHeight="1">
      <c r="A582" s="1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7"/>
    </row>
    <row r="583" ht="15.75" customHeight="1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7"/>
    </row>
    <row r="584" ht="15.75" customHeight="1">
      <c r="A584" s="1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7"/>
    </row>
    <row r="585" ht="15.75" customHeight="1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7"/>
    </row>
    <row r="586" ht="15.75" customHeight="1">
      <c r="A586" s="1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7"/>
    </row>
    <row r="587" ht="15.75" customHeight="1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7"/>
    </row>
    <row r="588" ht="15.75" customHeight="1">
      <c r="A588" s="1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7"/>
    </row>
    <row r="589" ht="15.75" customHeight="1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7"/>
    </row>
    <row r="590" ht="15.75" customHeight="1">
      <c r="A590" s="1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7"/>
    </row>
    <row r="591" ht="15.75" customHeight="1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7"/>
    </row>
    <row r="592" ht="15.75" customHeight="1">
      <c r="A592" s="1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7"/>
    </row>
    <row r="593" ht="15.75" customHeight="1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7"/>
    </row>
    <row r="594" ht="15.75" customHeight="1">
      <c r="A594" s="1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7"/>
    </row>
    <row r="595" ht="15.75" customHeight="1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7"/>
    </row>
    <row r="596" ht="15.75" customHeight="1">
      <c r="A596" s="1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7"/>
    </row>
    <row r="597" ht="15.75" customHeight="1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7"/>
    </row>
    <row r="598" ht="15.75" customHeight="1">
      <c r="A598" s="1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7"/>
    </row>
    <row r="599" ht="15.75" customHeight="1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7"/>
    </row>
    <row r="600" ht="15.75" customHeight="1">
      <c r="A600" s="1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7"/>
    </row>
    <row r="601" ht="15.75" customHeight="1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7"/>
    </row>
    <row r="602" ht="15.75" customHeight="1">
      <c r="A602" s="1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7"/>
    </row>
    <row r="603" ht="15.75" customHeight="1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7"/>
    </row>
    <row r="604" ht="15.75" customHeight="1">
      <c r="A604" s="1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7"/>
    </row>
    <row r="605" ht="15.75" customHeight="1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7"/>
    </row>
    <row r="606" ht="15.75" customHeight="1">
      <c r="A606" s="1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7"/>
    </row>
    <row r="607" ht="15.75" customHeight="1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7"/>
    </row>
    <row r="608" ht="15.75" customHeight="1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7"/>
    </row>
    <row r="609" ht="15.75" customHeight="1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7"/>
    </row>
    <row r="610" ht="15.75" customHeight="1">
      <c r="A610" s="1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7"/>
    </row>
    <row r="611" ht="15.75" customHeight="1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7"/>
    </row>
    <row r="612" ht="15.75" customHeight="1">
      <c r="A612" s="1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7"/>
    </row>
    <row r="613" ht="15.75" customHeight="1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7"/>
    </row>
    <row r="614" ht="15.75" customHeight="1">
      <c r="A614" s="1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7"/>
    </row>
    <row r="615" ht="15.75" customHeight="1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7"/>
    </row>
    <row r="616" ht="15.75" customHeight="1">
      <c r="A616" s="1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7"/>
    </row>
    <row r="617" ht="15.75" customHeight="1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7"/>
    </row>
    <row r="618" ht="15.75" customHeight="1">
      <c r="A618" s="1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7"/>
    </row>
    <row r="619" ht="15.75" customHeight="1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7"/>
    </row>
    <row r="620" ht="15.75" customHeight="1">
      <c r="A620" s="1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7"/>
    </row>
    <row r="621" ht="15.75" customHeight="1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7"/>
    </row>
    <row r="622" ht="15.75" customHeight="1">
      <c r="A622" s="1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7"/>
    </row>
    <row r="623" ht="15.75" customHeight="1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7"/>
    </row>
    <row r="624" ht="15.75" customHeight="1">
      <c r="A624" s="1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7"/>
    </row>
    <row r="625" ht="15.75" customHeight="1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7"/>
    </row>
    <row r="626" ht="15.75" customHeight="1">
      <c r="A626" s="1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7"/>
    </row>
    <row r="627" ht="15.75" customHeight="1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7"/>
    </row>
    <row r="628" ht="15.75" customHeight="1">
      <c r="A628" s="1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7"/>
    </row>
    <row r="629" ht="15.75" customHeight="1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7"/>
    </row>
    <row r="630" ht="15.75" customHeight="1">
      <c r="A630" s="1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7"/>
    </row>
    <row r="631" ht="15.75" customHeight="1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7"/>
    </row>
    <row r="632" ht="15.75" customHeight="1">
      <c r="A632" s="1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7"/>
    </row>
    <row r="633" ht="15.75" customHeight="1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7"/>
    </row>
    <row r="634" ht="15.75" customHeight="1">
      <c r="A634" s="1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7"/>
    </row>
    <row r="635" ht="15.75" customHeight="1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7"/>
    </row>
    <row r="636" ht="15.75" customHeight="1">
      <c r="A636" s="1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7"/>
    </row>
    <row r="637" ht="15.75" customHeight="1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7"/>
    </row>
    <row r="638" ht="15.75" customHeight="1">
      <c r="A638" s="1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7"/>
    </row>
    <row r="639" ht="15.75" customHeight="1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7"/>
    </row>
    <row r="640" ht="15.75" customHeight="1">
      <c r="A640" s="1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7"/>
    </row>
    <row r="641" ht="15.75" customHeight="1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7"/>
    </row>
    <row r="642" ht="15.75" customHeight="1">
      <c r="A642" s="1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7"/>
    </row>
    <row r="643" ht="15.75" customHeight="1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7"/>
    </row>
    <row r="644" ht="15.75" customHeight="1">
      <c r="A644" s="1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7"/>
    </row>
    <row r="645" ht="15.75" customHeight="1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7"/>
    </row>
    <row r="646" ht="15.75" customHeight="1">
      <c r="A646" s="1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7"/>
    </row>
    <row r="647" ht="15.75" customHeight="1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7"/>
    </row>
    <row r="648" ht="15.75" customHeight="1">
      <c r="A648" s="1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7"/>
    </row>
    <row r="649" ht="15.75" customHeight="1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7"/>
    </row>
    <row r="650" ht="15.75" customHeight="1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7"/>
    </row>
    <row r="651" ht="15.75" customHeight="1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7"/>
    </row>
    <row r="652" ht="15.75" customHeight="1">
      <c r="A652" s="1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7"/>
    </row>
    <row r="653" ht="15.75" customHeight="1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7"/>
    </row>
    <row r="654" ht="15.75" customHeight="1">
      <c r="A654" s="1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7"/>
    </row>
    <row r="655" ht="15.75" customHeight="1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7"/>
    </row>
    <row r="656" ht="15.75" customHeight="1">
      <c r="A656" s="1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7"/>
    </row>
    <row r="657" ht="15.75" customHeight="1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7"/>
    </row>
    <row r="658" ht="15.75" customHeight="1">
      <c r="A658" s="1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7"/>
    </row>
    <row r="659" ht="15.75" customHeight="1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7"/>
    </row>
    <row r="660" ht="15.75" customHeight="1">
      <c r="A660" s="1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7"/>
    </row>
    <row r="661" ht="15.75" customHeight="1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7"/>
    </row>
    <row r="662" ht="15.75" customHeight="1">
      <c r="A662" s="1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7"/>
    </row>
    <row r="663" ht="15.75" customHeight="1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7"/>
    </row>
    <row r="664" ht="15.75" customHeight="1">
      <c r="A664" s="1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7"/>
    </row>
    <row r="665" ht="15.75" customHeight="1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7"/>
    </row>
    <row r="666" ht="15.75" customHeight="1">
      <c r="A666" s="1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7"/>
    </row>
    <row r="667" ht="15.75" customHeight="1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7"/>
    </row>
    <row r="668" ht="15.75" customHeight="1">
      <c r="A668" s="1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7"/>
    </row>
    <row r="669" ht="15.75" customHeight="1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7"/>
    </row>
    <row r="670" ht="15.75" customHeight="1">
      <c r="A670" s="1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7"/>
    </row>
    <row r="671" ht="15.75" customHeight="1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7"/>
    </row>
    <row r="672" ht="15.75" customHeight="1">
      <c r="A672" s="1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7"/>
    </row>
    <row r="673" ht="15.75" customHeight="1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7"/>
    </row>
    <row r="674" ht="15.75" customHeight="1">
      <c r="A674" s="1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7"/>
    </row>
    <row r="675" ht="15.75" customHeight="1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7"/>
    </row>
    <row r="676" ht="15.75" customHeight="1">
      <c r="A676" s="1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7"/>
    </row>
    <row r="677" ht="15.75" customHeight="1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7"/>
    </row>
    <row r="678" ht="15.75" customHeight="1">
      <c r="A678" s="1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7"/>
    </row>
    <row r="679" ht="15.75" customHeight="1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7"/>
    </row>
    <row r="680" ht="15.75" customHeight="1">
      <c r="A680" s="1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7"/>
    </row>
    <row r="681" ht="15.75" customHeight="1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7"/>
    </row>
    <row r="682" ht="15.75" customHeight="1">
      <c r="A682" s="1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7"/>
    </row>
    <row r="683" ht="15.75" customHeight="1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7"/>
    </row>
    <row r="684" ht="15.75" customHeight="1">
      <c r="A684" s="1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7"/>
    </row>
    <row r="685" ht="15.75" customHeight="1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7"/>
    </row>
    <row r="686" ht="15.75" customHeight="1">
      <c r="A686" s="1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7"/>
    </row>
    <row r="687" ht="15.75" customHeight="1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7"/>
    </row>
    <row r="688" ht="15.75" customHeight="1">
      <c r="A688" s="1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7"/>
    </row>
    <row r="689" ht="15.75" customHeight="1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7"/>
    </row>
    <row r="690" ht="15.75" customHeight="1">
      <c r="A690" s="1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7"/>
    </row>
    <row r="691" ht="15.75" customHeight="1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7"/>
    </row>
    <row r="692" ht="15.75" customHeight="1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7"/>
    </row>
    <row r="693" ht="15.75" customHeight="1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7"/>
    </row>
    <row r="694" ht="15.75" customHeight="1">
      <c r="A694" s="1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7"/>
    </row>
    <row r="695" ht="15.75" customHeight="1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7"/>
    </row>
    <row r="696" ht="15.75" customHeight="1">
      <c r="A696" s="1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7"/>
    </row>
    <row r="697" ht="15.75" customHeight="1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7"/>
    </row>
    <row r="698" ht="15.75" customHeight="1">
      <c r="A698" s="1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7"/>
    </row>
    <row r="699" ht="15.75" customHeight="1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7"/>
    </row>
    <row r="700" ht="15.75" customHeight="1">
      <c r="A700" s="1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7"/>
    </row>
    <row r="701" ht="15.75" customHeight="1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7"/>
    </row>
    <row r="702" ht="15.75" customHeight="1">
      <c r="A702" s="1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7"/>
    </row>
    <row r="703" ht="15.75" customHeight="1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7"/>
    </row>
    <row r="704" ht="15.75" customHeight="1">
      <c r="A704" s="1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7"/>
    </row>
    <row r="705" ht="15.75" customHeight="1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7"/>
    </row>
    <row r="706" ht="15.75" customHeight="1">
      <c r="A706" s="1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7"/>
    </row>
    <row r="707" ht="15.75" customHeight="1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7"/>
    </row>
    <row r="708" ht="15.75" customHeight="1">
      <c r="A708" s="1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7"/>
    </row>
    <row r="709" ht="15.75" customHeight="1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7"/>
    </row>
    <row r="710" ht="15.75" customHeight="1">
      <c r="A710" s="1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7"/>
    </row>
    <row r="711" ht="15.75" customHeight="1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7"/>
    </row>
    <row r="712" ht="15.75" customHeight="1">
      <c r="A712" s="1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7"/>
    </row>
    <row r="713" ht="15.75" customHeight="1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7"/>
    </row>
    <row r="714" ht="15.75" customHeight="1">
      <c r="A714" s="1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7"/>
    </row>
    <row r="715" ht="15.75" customHeight="1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7"/>
    </row>
    <row r="716" ht="15.75" customHeight="1">
      <c r="A716" s="1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7"/>
    </row>
    <row r="717" ht="15.75" customHeight="1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7"/>
    </row>
    <row r="718" ht="15.75" customHeight="1">
      <c r="A718" s="1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7"/>
    </row>
    <row r="719" ht="15.75" customHeight="1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7"/>
    </row>
    <row r="720" ht="15.75" customHeight="1">
      <c r="A720" s="1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7"/>
    </row>
    <row r="721" ht="15.75" customHeight="1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7"/>
    </row>
    <row r="722" ht="15.75" customHeight="1">
      <c r="A722" s="1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7"/>
    </row>
    <row r="723" ht="15.75" customHeight="1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7"/>
    </row>
    <row r="724" ht="15.75" customHeight="1">
      <c r="A724" s="1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7"/>
    </row>
    <row r="725" ht="15.75" customHeight="1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7"/>
    </row>
    <row r="726" ht="15.75" customHeight="1">
      <c r="A726" s="1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7"/>
    </row>
    <row r="727" ht="15.75" customHeight="1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7"/>
    </row>
    <row r="728" ht="15.75" customHeight="1">
      <c r="A728" s="1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7"/>
    </row>
    <row r="729" ht="15.75" customHeight="1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7"/>
    </row>
    <row r="730" ht="15.75" customHeight="1">
      <c r="A730" s="1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7"/>
    </row>
    <row r="731" ht="15.75" customHeight="1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7"/>
    </row>
    <row r="732" ht="15.75" customHeight="1">
      <c r="A732" s="1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7"/>
    </row>
    <row r="733" ht="15.75" customHeight="1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7"/>
    </row>
    <row r="734" ht="15.75" customHeight="1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7"/>
    </row>
    <row r="735" ht="15.75" customHeight="1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7"/>
    </row>
    <row r="736" ht="15.75" customHeight="1">
      <c r="A736" s="1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7"/>
    </row>
    <row r="737" ht="15.75" customHeight="1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7"/>
    </row>
    <row r="738" ht="15.75" customHeight="1">
      <c r="A738" s="1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7"/>
    </row>
    <row r="739" ht="15.75" customHeight="1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7"/>
    </row>
    <row r="740" ht="15.75" customHeight="1">
      <c r="A740" s="1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7"/>
    </row>
    <row r="741" ht="15.75" customHeight="1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7"/>
    </row>
    <row r="742" ht="15.75" customHeight="1">
      <c r="A742" s="1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7"/>
    </row>
    <row r="743" ht="15.75" customHeight="1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7"/>
    </row>
    <row r="744" ht="15.75" customHeight="1">
      <c r="A744" s="1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7"/>
    </row>
    <row r="745" ht="15.75" customHeight="1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7"/>
    </row>
    <row r="746" ht="15.75" customHeight="1">
      <c r="A746" s="1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7"/>
    </row>
    <row r="747" ht="15.75" customHeight="1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7"/>
    </row>
    <row r="748" ht="15.75" customHeight="1">
      <c r="A748" s="1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7"/>
    </row>
    <row r="749" ht="15.75" customHeight="1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7"/>
    </row>
    <row r="750" ht="15.75" customHeight="1">
      <c r="A750" s="1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7"/>
    </row>
    <row r="751" ht="15.75" customHeight="1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7"/>
    </row>
    <row r="752" ht="15.75" customHeight="1">
      <c r="A752" s="1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7"/>
    </row>
    <row r="753" ht="15.75" customHeight="1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7"/>
    </row>
    <row r="754" ht="15.75" customHeight="1">
      <c r="A754" s="1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7"/>
    </row>
    <row r="755" ht="15.75" customHeight="1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7"/>
    </row>
    <row r="756" ht="15.75" customHeight="1">
      <c r="A756" s="1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7"/>
    </row>
    <row r="757" ht="15.75" customHeight="1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7"/>
    </row>
    <row r="758" ht="15.75" customHeight="1">
      <c r="A758" s="1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7"/>
    </row>
    <row r="759" ht="15.75" customHeight="1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7"/>
    </row>
    <row r="760" ht="15.75" customHeight="1">
      <c r="A760" s="1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7"/>
    </row>
    <row r="761" ht="15.75" customHeight="1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7"/>
    </row>
    <row r="762" ht="15.75" customHeight="1">
      <c r="A762" s="1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7"/>
    </row>
    <row r="763" ht="15.75" customHeight="1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7"/>
    </row>
    <row r="764" ht="15.75" customHeight="1">
      <c r="A764" s="1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7"/>
    </row>
    <row r="765" ht="15.75" customHeight="1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7"/>
    </row>
    <row r="766" ht="15.75" customHeight="1">
      <c r="A766" s="1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7"/>
    </row>
    <row r="767" ht="15.75" customHeight="1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7"/>
    </row>
    <row r="768" ht="15.75" customHeight="1">
      <c r="A768" s="1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7"/>
    </row>
    <row r="769" ht="15.75" customHeight="1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7"/>
    </row>
    <row r="770" ht="15.75" customHeight="1">
      <c r="A770" s="1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7"/>
    </row>
    <row r="771" ht="15.75" customHeight="1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7"/>
    </row>
    <row r="772" ht="15.75" customHeight="1">
      <c r="A772" s="1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7"/>
    </row>
    <row r="773" ht="15.75" customHeight="1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7"/>
    </row>
    <row r="774" ht="15.75" customHeight="1">
      <c r="A774" s="1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7"/>
    </row>
    <row r="775" ht="15.75" customHeight="1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7"/>
    </row>
    <row r="776" ht="15.75" customHeight="1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7"/>
    </row>
    <row r="777" ht="15.75" customHeight="1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7"/>
    </row>
    <row r="778" ht="15.75" customHeight="1">
      <c r="A778" s="1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7"/>
    </row>
    <row r="779" ht="15.75" customHeight="1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7"/>
    </row>
    <row r="780" ht="15.75" customHeight="1">
      <c r="A780" s="1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7"/>
    </row>
    <row r="781" ht="15.75" customHeight="1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7"/>
    </row>
    <row r="782" ht="15.75" customHeight="1">
      <c r="A782" s="1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7"/>
    </row>
    <row r="783" ht="15.75" customHeight="1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7"/>
    </row>
    <row r="784" ht="15.75" customHeight="1">
      <c r="A784" s="1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7"/>
    </row>
    <row r="785" ht="15.75" customHeight="1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7"/>
    </row>
    <row r="786" ht="15.75" customHeight="1">
      <c r="A786" s="1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7"/>
    </row>
    <row r="787" ht="15.75" customHeight="1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7"/>
    </row>
    <row r="788" ht="15.75" customHeight="1">
      <c r="A788" s="1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7"/>
    </row>
    <row r="789" ht="15.75" customHeight="1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7"/>
    </row>
    <row r="790" ht="15.75" customHeight="1">
      <c r="A790" s="1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7"/>
    </row>
    <row r="791" ht="15.75" customHeight="1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7"/>
    </row>
    <row r="792" ht="15.75" customHeight="1">
      <c r="A792" s="1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7"/>
    </row>
    <row r="793" ht="15.75" customHeight="1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7"/>
    </row>
    <row r="794" ht="15.75" customHeight="1">
      <c r="A794" s="1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7"/>
    </row>
    <row r="795" ht="15.75" customHeight="1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7"/>
    </row>
    <row r="796" ht="15.75" customHeight="1">
      <c r="A796" s="1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7"/>
    </row>
    <row r="797" ht="15.75" customHeight="1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7"/>
    </row>
    <row r="798" ht="15.75" customHeight="1">
      <c r="A798" s="1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7"/>
    </row>
    <row r="799" ht="15.75" customHeight="1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7"/>
    </row>
    <row r="800" ht="15.75" customHeight="1">
      <c r="A800" s="1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7"/>
    </row>
    <row r="801" ht="15.75" customHeight="1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7"/>
    </row>
    <row r="802" ht="15.75" customHeight="1">
      <c r="A802" s="1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7"/>
    </row>
    <row r="803" ht="15.75" customHeight="1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7"/>
    </row>
    <row r="804" ht="15.75" customHeight="1">
      <c r="A804" s="1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7"/>
    </row>
    <row r="805" ht="15.75" customHeight="1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7"/>
    </row>
    <row r="806" ht="15.75" customHeight="1">
      <c r="A806" s="1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7"/>
    </row>
    <row r="807" ht="15.75" customHeight="1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7"/>
    </row>
    <row r="808" ht="15.75" customHeight="1">
      <c r="A808" s="1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7"/>
    </row>
    <row r="809" ht="15.75" customHeight="1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7"/>
    </row>
    <row r="810" ht="15.75" customHeight="1">
      <c r="A810" s="1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7"/>
    </row>
    <row r="811" ht="15.75" customHeight="1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7"/>
    </row>
    <row r="812" ht="15.75" customHeight="1">
      <c r="A812" s="1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7"/>
    </row>
    <row r="813" ht="15.75" customHeight="1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7"/>
    </row>
    <row r="814" ht="15.75" customHeight="1">
      <c r="A814" s="1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7"/>
    </row>
    <row r="815" ht="15.75" customHeight="1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7"/>
    </row>
    <row r="816" ht="15.75" customHeight="1">
      <c r="A816" s="1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7"/>
    </row>
    <row r="817" ht="15.75" customHeight="1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7"/>
    </row>
    <row r="818" ht="15.75" customHeight="1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7"/>
    </row>
    <row r="819" ht="15.75" customHeight="1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7"/>
    </row>
    <row r="820" ht="15.75" customHeight="1">
      <c r="A820" s="1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7"/>
    </row>
    <row r="821" ht="15.75" customHeight="1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7"/>
    </row>
    <row r="822" ht="15.75" customHeight="1">
      <c r="A822" s="1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7"/>
    </row>
    <row r="823" ht="15.75" customHeight="1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7"/>
    </row>
    <row r="824" ht="15.75" customHeight="1">
      <c r="A824" s="1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7"/>
    </row>
    <row r="825" ht="15.75" customHeight="1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7"/>
    </row>
    <row r="826" ht="15.75" customHeight="1">
      <c r="A826" s="1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7"/>
    </row>
    <row r="827" ht="15.75" customHeight="1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7"/>
    </row>
    <row r="828" ht="15.75" customHeight="1">
      <c r="A828" s="1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7"/>
    </row>
    <row r="829" ht="15.75" customHeight="1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7"/>
    </row>
    <row r="830" ht="15.75" customHeight="1">
      <c r="A830" s="1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7"/>
    </row>
    <row r="831" ht="15.75" customHeight="1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7"/>
    </row>
    <row r="832" ht="15.75" customHeight="1">
      <c r="A832" s="1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7"/>
    </row>
    <row r="833" ht="15.75" customHeight="1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7"/>
    </row>
    <row r="834" ht="15.75" customHeight="1">
      <c r="A834" s="1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7"/>
    </row>
    <row r="835" ht="15.75" customHeight="1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7"/>
    </row>
    <row r="836" ht="15.75" customHeight="1">
      <c r="A836" s="1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7"/>
    </row>
    <row r="837" ht="15.75" customHeight="1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7"/>
    </row>
    <row r="838" ht="15.75" customHeight="1">
      <c r="A838" s="1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7"/>
    </row>
    <row r="839" ht="15.75" customHeight="1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7"/>
    </row>
    <row r="840" ht="15.75" customHeight="1">
      <c r="A840" s="1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7"/>
    </row>
    <row r="841" ht="15.75" customHeight="1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7"/>
    </row>
    <row r="842" ht="15.75" customHeight="1">
      <c r="A842" s="1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7"/>
    </row>
    <row r="843" ht="15.75" customHeight="1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7"/>
    </row>
    <row r="844" ht="15.75" customHeight="1">
      <c r="A844" s="1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7"/>
    </row>
    <row r="845" ht="15.75" customHeight="1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7"/>
    </row>
    <row r="846" ht="15.75" customHeight="1">
      <c r="A846" s="1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7"/>
    </row>
    <row r="847" ht="15.75" customHeight="1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7"/>
    </row>
    <row r="848" ht="15.75" customHeight="1">
      <c r="A848" s="1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7"/>
    </row>
    <row r="849" ht="15.75" customHeight="1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7"/>
    </row>
    <row r="850" ht="15.75" customHeight="1">
      <c r="A850" s="1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7"/>
    </row>
    <row r="851" ht="15.75" customHeight="1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7"/>
    </row>
    <row r="852" ht="15.75" customHeight="1">
      <c r="A852" s="1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7"/>
    </row>
    <row r="853" ht="15.75" customHeight="1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7"/>
    </row>
    <row r="854" ht="15.75" customHeight="1">
      <c r="A854" s="1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7"/>
    </row>
    <row r="855" ht="15.75" customHeight="1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7"/>
    </row>
    <row r="856" ht="15.75" customHeight="1">
      <c r="A856" s="1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7"/>
    </row>
    <row r="857" ht="15.75" customHeight="1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7"/>
    </row>
    <row r="858" ht="15.75" customHeight="1">
      <c r="A858" s="1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7"/>
    </row>
    <row r="859" ht="15.75" customHeight="1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7"/>
    </row>
    <row r="860" ht="15.75" customHeight="1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7"/>
    </row>
    <row r="861" ht="15.75" customHeight="1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7"/>
    </row>
    <row r="862" ht="15.75" customHeight="1">
      <c r="A862" s="1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7"/>
    </row>
    <row r="863" ht="15.75" customHeight="1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7"/>
    </row>
    <row r="864" ht="15.75" customHeight="1">
      <c r="A864" s="1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7"/>
    </row>
    <row r="865" ht="15.75" customHeight="1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7"/>
    </row>
    <row r="866" ht="15.75" customHeight="1">
      <c r="A866" s="1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7"/>
    </row>
    <row r="867" ht="15.75" customHeight="1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7"/>
    </row>
    <row r="868" ht="15.75" customHeight="1">
      <c r="A868" s="1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7"/>
    </row>
    <row r="869" ht="15.75" customHeight="1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7"/>
    </row>
    <row r="870" ht="15.75" customHeight="1">
      <c r="A870" s="1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7"/>
    </row>
    <row r="871" ht="15.75" customHeight="1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7"/>
    </row>
    <row r="872" ht="15.75" customHeight="1">
      <c r="A872" s="1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7"/>
    </row>
    <row r="873" ht="15.75" customHeight="1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7"/>
    </row>
    <row r="874" ht="15.75" customHeight="1">
      <c r="A874" s="1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7"/>
    </row>
    <row r="875" ht="15.75" customHeight="1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7"/>
    </row>
    <row r="876" ht="15.75" customHeight="1">
      <c r="A876" s="1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7"/>
    </row>
    <row r="877" ht="15.75" customHeight="1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7"/>
    </row>
    <row r="878" ht="15.75" customHeight="1">
      <c r="A878" s="1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7"/>
    </row>
    <row r="879" ht="15.75" customHeight="1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7"/>
    </row>
    <row r="880" ht="15.75" customHeight="1">
      <c r="A880" s="1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7"/>
    </row>
    <row r="881" ht="15.75" customHeight="1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7"/>
    </row>
    <row r="882" ht="15.75" customHeight="1">
      <c r="A882" s="1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7"/>
    </row>
    <row r="883" ht="15.75" customHeight="1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7"/>
    </row>
    <row r="884" ht="15.75" customHeight="1">
      <c r="A884" s="1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7"/>
    </row>
    <row r="885" ht="15.75" customHeight="1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7"/>
    </row>
    <row r="886" ht="15.75" customHeight="1">
      <c r="A886" s="1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7"/>
    </row>
    <row r="887" ht="15.75" customHeight="1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7"/>
    </row>
    <row r="888" ht="15.75" customHeight="1">
      <c r="A888" s="1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7"/>
    </row>
    <row r="889" ht="15.75" customHeight="1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7"/>
    </row>
    <row r="890" ht="15.75" customHeight="1">
      <c r="A890" s="1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7"/>
    </row>
    <row r="891" ht="15.75" customHeight="1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7"/>
    </row>
    <row r="892" ht="15.75" customHeight="1">
      <c r="A892" s="1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7"/>
    </row>
    <row r="893" ht="15.75" customHeight="1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7"/>
    </row>
    <row r="894" ht="15.75" customHeight="1">
      <c r="A894" s="1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7"/>
    </row>
    <row r="895" ht="15.75" customHeight="1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7"/>
    </row>
    <row r="896" ht="15.75" customHeight="1">
      <c r="A896" s="1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7"/>
    </row>
    <row r="897" ht="15.75" customHeight="1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7"/>
    </row>
    <row r="898" ht="15.75" customHeight="1">
      <c r="A898" s="1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7"/>
    </row>
    <row r="899" ht="15.75" customHeight="1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7"/>
    </row>
    <row r="900" ht="15.75" customHeight="1">
      <c r="A900" s="1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7"/>
    </row>
    <row r="901" ht="15.75" customHeight="1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7"/>
    </row>
    <row r="902" ht="15.75" customHeight="1">
      <c r="A902" s="1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7"/>
    </row>
    <row r="903" ht="15.75" customHeight="1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7"/>
    </row>
    <row r="904" ht="15.75" customHeight="1">
      <c r="A904" s="1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7"/>
    </row>
    <row r="905" ht="15.75" customHeight="1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7"/>
    </row>
    <row r="906" ht="15.75" customHeight="1">
      <c r="A906" s="1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7"/>
    </row>
    <row r="907" ht="15.75" customHeight="1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7"/>
    </row>
    <row r="908" ht="15.75" customHeight="1">
      <c r="A908" s="1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7"/>
    </row>
    <row r="909" ht="15.75" customHeight="1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7"/>
    </row>
    <row r="910" ht="15.75" customHeight="1">
      <c r="A910" s="1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7"/>
    </row>
    <row r="911" ht="15.75" customHeight="1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7"/>
    </row>
    <row r="912" ht="15.75" customHeight="1">
      <c r="A912" s="1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7"/>
    </row>
    <row r="913" ht="15.75" customHeight="1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7"/>
    </row>
    <row r="914" ht="15.75" customHeight="1">
      <c r="A914" s="1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7"/>
    </row>
    <row r="915" ht="15.75" customHeight="1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7"/>
    </row>
    <row r="916" ht="15.75" customHeight="1">
      <c r="A916" s="1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7"/>
    </row>
    <row r="917" ht="15.75" customHeight="1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7"/>
    </row>
    <row r="918" ht="15.75" customHeight="1">
      <c r="A918" s="1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7"/>
    </row>
    <row r="919" ht="15.75" customHeight="1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7"/>
    </row>
    <row r="920" ht="15.75" customHeight="1">
      <c r="A920" s="1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7"/>
    </row>
    <row r="921" ht="15.75" customHeight="1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7"/>
    </row>
    <row r="922" ht="15.75" customHeight="1">
      <c r="A922" s="1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7"/>
    </row>
    <row r="923" ht="15.75" customHeight="1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7"/>
    </row>
    <row r="924" ht="15.75" customHeight="1">
      <c r="A924" s="1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7"/>
    </row>
    <row r="925" ht="15.75" customHeight="1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7"/>
    </row>
    <row r="926" ht="15.75" customHeight="1">
      <c r="A926" s="1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7"/>
    </row>
    <row r="927" ht="15.75" customHeight="1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7"/>
    </row>
    <row r="928" ht="15.75" customHeight="1">
      <c r="A928" s="1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7"/>
    </row>
    <row r="929" ht="15.75" customHeight="1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7"/>
    </row>
    <row r="930" ht="15.75" customHeight="1">
      <c r="A930" s="1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7"/>
    </row>
    <row r="931" ht="15.75" customHeight="1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7"/>
    </row>
    <row r="932" ht="15.75" customHeight="1">
      <c r="A932" s="1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7"/>
    </row>
    <row r="933" ht="15.75" customHeight="1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7"/>
    </row>
    <row r="934" ht="15.75" customHeight="1">
      <c r="A934" s="1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7"/>
    </row>
    <row r="935" ht="15.75" customHeight="1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7"/>
    </row>
    <row r="936" ht="15.75" customHeight="1">
      <c r="A936" s="1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7"/>
    </row>
    <row r="937" ht="15.75" customHeight="1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7"/>
    </row>
    <row r="938" ht="15.75" customHeight="1">
      <c r="A938" s="1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7"/>
    </row>
    <row r="939" ht="15.75" customHeight="1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7"/>
    </row>
    <row r="940" ht="15.75" customHeight="1">
      <c r="A940" s="1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7"/>
    </row>
    <row r="941" ht="15.75" customHeight="1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7"/>
    </row>
    <row r="942" ht="15.75" customHeight="1">
      <c r="A942" s="1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7"/>
    </row>
    <row r="943" ht="15.75" customHeight="1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7"/>
    </row>
    <row r="944" ht="15.75" customHeight="1">
      <c r="A944" s="1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7"/>
    </row>
    <row r="945" ht="15.75" customHeight="1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7"/>
    </row>
    <row r="946" ht="15.75" customHeight="1">
      <c r="A946" s="1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7"/>
    </row>
    <row r="947" ht="15.75" customHeight="1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7"/>
    </row>
    <row r="948" ht="15.75" customHeight="1">
      <c r="A948" s="1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7"/>
    </row>
    <row r="949" ht="15.75" customHeight="1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7"/>
    </row>
    <row r="950" ht="15.75" customHeight="1">
      <c r="A950" s="1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7"/>
    </row>
    <row r="951" ht="15.75" customHeight="1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7"/>
    </row>
    <row r="952" ht="15.75" customHeight="1">
      <c r="A952" s="1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7"/>
    </row>
    <row r="953" ht="15.75" customHeight="1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7"/>
    </row>
    <row r="954" ht="15.75" customHeight="1">
      <c r="A954" s="1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7"/>
    </row>
    <row r="955" ht="15.75" customHeight="1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7"/>
    </row>
    <row r="956" ht="15.75" customHeight="1">
      <c r="A956" s="1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7"/>
    </row>
    <row r="957" ht="15.75" customHeight="1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7"/>
    </row>
    <row r="958" ht="15.75" customHeight="1">
      <c r="A958" s="1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7"/>
    </row>
    <row r="959" ht="15.75" customHeight="1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7"/>
    </row>
    <row r="960" ht="15.75" customHeight="1">
      <c r="A960" s="1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7"/>
    </row>
    <row r="961" ht="15.75" customHeight="1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7"/>
    </row>
    <row r="962" ht="15.75" customHeight="1">
      <c r="A962" s="1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7"/>
    </row>
    <row r="963" ht="15.75" customHeight="1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7"/>
    </row>
    <row r="964" ht="15.75" customHeight="1">
      <c r="A964" s="1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7"/>
    </row>
    <row r="965" ht="15.75" customHeight="1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7"/>
    </row>
    <row r="966" ht="15.75" customHeight="1">
      <c r="A966" s="1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7"/>
    </row>
    <row r="967" ht="15.75" customHeight="1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7"/>
    </row>
    <row r="968" ht="15.75" customHeight="1">
      <c r="A968" s="1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7"/>
    </row>
    <row r="969" ht="15.75" customHeight="1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7"/>
    </row>
    <row r="970" ht="15.75" customHeight="1">
      <c r="A970" s="1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7"/>
    </row>
    <row r="971" ht="15.75" customHeight="1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7"/>
    </row>
    <row r="972" ht="15.75" customHeight="1">
      <c r="A972" s="1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7"/>
    </row>
    <row r="973" ht="15.75" customHeight="1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7"/>
    </row>
    <row r="974" ht="15.75" customHeight="1">
      <c r="A974" s="1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7"/>
    </row>
    <row r="975" ht="15.75" customHeight="1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7"/>
    </row>
    <row r="976" ht="15.75" customHeight="1">
      <c r="A976" s="1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7"/>
    </row>
    <row r="977" ht="15.75" customHeight="1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7"/>
    </row>
    <row r="978" ht="15.75" customHeight="1">
      <c r="A978" s="1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7"/>
    </row>
    <row r="979" ht="15.75" customHeight="1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7"/>
    </row>
    <row r="980" ht="15.75" customHeight="1">
      <c r="A980" s="1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7"/>
    </row>
    <row r="981" ht="15.75" customHeight="1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7"/>
    </row>
    <row r="982" ht="15.75" customHeight="1">
      <c r="A982" s="1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7"/>
    </row>
    <row r="983" ht="15.75" customHeight="1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7"/>
    </row>
    <row r="984" ht="15.75" customHeight="1">
      <c r="A984" s="1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7"/>
    </row>
    <row r="985" ht="15.75" customHeight="1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7"/>
    </row>
    <row r="986" ht="15.75" customHeight="1">
      <c r="A986" s="1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7"/>
    </row>
    <row r="987" ht="15.75" customHeight="1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7"/>
    </row>
    <row r="988" ht="15.75" customHeight="1">
      <c r="A988" s="1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7"/>
    </row>
    <row r="989" ht="15.75" customHeight="1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7"/>
    </row>
    <row r="990" ht="15.75" customHeight="1">
      <c r="A990" s="1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7"/>
    </row>
    <row r="991" ht="15.75" customHeight="1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7"/>
    </row>
    <row r="992" ht="15.75" customHeight="1">
      <c r="A992" s="1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7"/>
    </row>
    <row r="993" ht="15.75" customHeight="1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7"/>
    </row>
    <row r="994" ht="15.75" customHeight="1">
      <c r="A994" s="1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7"/>
    </row>
    <row r="995" ht="15.75" customHeight="1">
      <c r="A995" s="1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7"/>
    </row>
    <row r="996" ht="15.75" customHeight="1">
      <c r="A996" s="1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7"/>
    </row>
    <row r="997" ht="15.75" customHeight="1">
      <c r="A997" s="1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7"/>
    </row>
    <row r="998" ht="15.75" customHeight="1">
      <c r="A998" s="1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7"/>
    </row>
    <row r="999" ht="15.75" customHeight="1">
      <c r="A999" s="1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7"/>
    </row>
    <row r="1000" ht="15.75" customHeight="1">
      <c r="A1000" s="21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3"/>
    </row>
  </sheetData>
  <mergeCells count="26">
    <mergeCell ref="I14:J14"/>
    <mergeCell ref="I15:J15"/>
    <mergeCell ref="I16:J16"/>
    <mergeCell ref="K16:M16"/>
    <mergeCell ref="I17:J17"/>
    <mergeCell ref="K17:M17"/>
    <mergeCell ref="I18:J18"/>
    <mergeCell ref="K18:M18"/>
    <mergeCell ref="E7:K8"/>
    <mergeCell ref="F10:J11"/>
    <mergeCell ref="C14:D14"/>
    <mergeCell ref="E14:G14"/>
    <mergeCell ref="K14:M14"/>
    <mergeCell ref="E15:G15"/>
    <mergeCell ref="K15:M15"/>
    <mergeCell ref="C19:D19"/>
    <mergeCell ref="E19:G19"/>
    <mergeCell ref="I19:J19"/>
    <mergeCell ref="K19:M19"/>
    <mergeCell ref="C15:D15"/>
    <mergeCell ref="C16:D16"/>
    <mergeCell ref="E16:G16"/>
    <mergeCell ref="C17:D17"/>
    <mergeCell ref="E17:G17"/>
    <mergeCell ref="C18:D18"/>
    <mergeCell ref="E18:G18"/>
  </mergeCells>
  <printOptions/>
  <pageMargins bottom="0.351388888888889" footer="0.0" header="0.0" left="0.470138888888889" right="0.470138888888889" top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6.71"/>
    <col customWidth="1" min="3" max="3" width="28.14"/>
    <col customWidth="1" min="4" max="4" width="32.14"/>
    <col customWidth="1" min="5" max="5" width="56.71"/>
    <col customWidth="1" min="6" max="6" width="35.0"/>
    <col customWidth="1" min="7" max="26" width="9.86"/>
  </cols>
  <sheetData>
    <row r="1" ht="23.25" customHeight="1">
      <c r="A1" s="24" t="s">
        <v>15</v>
      </c>
      <c r="B1" s="25" t="s">
        <v>16</v>
      </c>
      <c r="C1" s="9"/>
      <c r="D1" s="9"/>
      <c r="E1" s="9"/>
      <c r="F1" s="9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2.0" customHeight="1">
      <c r="A2" s="27"/>
      <c r="B2" s="28" t="s">
        <v>17</v>
      </c>
      <c r="C2" s="29"/>
      <c r="D2" s="30" t="s">
        <v>1</v>
      </c>
      <c r="E2" s="31"/>
      <c r="F2" s="32"/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2.0" customHeight="1">
      <c r="A3" s="27"/>
      <c r="B3" s="35" t="s">
        <v>18</v>
      </c>
      <c r="C3" s="36"/>
      <c r="D3" s="37" t="s">
        <v>1</v>
      </c>
      <c r="E3" s="38"/>
      <c r="F3" s="39"/>
      <c r="G3" s="33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0" customHeight="1">
      <c r="A4" s="24"/>
      <c r="B4" s="40"/>
      <c r="C4" s="41"/>
      <c r="D4" s="41"/>
      <c r="E4" s="41"/>
      <c r="F4" s="41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1.0" customHeight="1">
      <c r="A5" s="42"/>
      <c r="B5" s="43" t="s">
        <v>19</v>
      </c>
      <c r="C5" s="44" t="s">
        <v>20</v>
      </c>
      <c r="D5" s="44" t="s">
        <v>21</v>
      </c>
      <c r="E5" s="45" t="s">
        <v>22</v>
      </c>
      <c r="F5" s="46" t="s">
        <v>23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24"/>
      <c r="B6" s="48">
        <v>1.0</v>
      </c>
      <c r="C6" s="49" t="s">
        <v>24</v>
      </c>
      <c r="D6" s="50" t="s">
        <v>24</v>
      </c>
      <c r="E6" s="51"/>
      <c r="F6" s="52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24"/>
      <c r="B7" s="53">
        <v>2.0</v>
      </c>
      <c r="C7" s="54" t="s">
        <v>25</v>
      </c>
      <c r="D7" s="55" t="s">
        <v>25</v>
      </c>
      <c r="E7" s="56"/>
      <c r="F7" s="57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0" customHeight="1">
      <c r="A8" s="26"/>
      <c r="B8" s="26"/>
      <c r="C8" s="58"/>
      <c r="D8" s="58"/>
      <c r="E8" s="58"/>
      <c r="F8" s="58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5">
    <mergeCell ref="B1:F1"/>
    <mergeCell ref="B2:C2"/>
    <mergeCell ref="D2:F2"/>
    <mergeCell ref="B3:C3"/>
    <mergeCell ref="D3:F3"/>
  </mergeCells>
  <hyperlinks>
    <hyperlink display="GUI" location="GUI!A1" ref="D6"/>
    <hyperlink display="Function" location="Function!A1" ref="D7"/>
  </hyperlinks>
  <printOptions/>
  <pageMargins bottom="1.1506944444444445" footer="0.0" header="0.0" left="0.7479166666666667" right="0.7479166666666667" top="0.9840277777777778"/>
  <pageSetup paperSize="9" scale="80" orientation="landscape"/>
  <headerFooter>
    <oddFooter>&amp;L 02ae-BM/PM/HDCV/FSOFT v2.1&amp;CInternal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20.43"/>
    <col customWidth="1" min="3" max="3" width="9.71"/>
    <col customWidth="1" min="4" max="4" width="28.43"/>
    <col customWidth="1" min="5" max="5" width="33.14"/>
    <col customWidth="1" min="6" max="6" width="23.29"/>
    <col customWidth="1" min="7" max="8" width="17.57"/>
    <col customWidth="1" min="9" max="9" width="3.43"/>
    <col customWidth="1" min="10" max="26" width="9.86"/>
  </cols>
  <sheetData>
    <row r="1" ht="18.75" customHeight="1">
      <c r="A1" s="60" t="s">
        <v>26</v>
      </c>
      <c r="B1" s="9"/>
      <c r="C1" s="9"/>
      <c r="D1" s="61"/>
      <c r="E1" s="61"/>
      <c r="F1" s="61"/>
      <c r="G1" s="61"/>
      <c r="H1" s="61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23.25" customHeight="1">
      <c r="A2" s="63" t="s">
        <v>19</v>
      </c>
      <c r="B2" s="64" t="s">
        <v>27</v>
      </c>
      <c r="C2" s="65" t="s">
        <v>12</v>
      </c>
      <c r="D2" s="65" t="s">
        <v>28</v>
      </c>
      <c r="E2" s="65" t="s">
        <v>29</v>
      </c>
      <c r="F2" s="65" t="s">
        <v>30</v>
      </c>
      <c r="G2" s="65" t="s">
        <v>31</v>
      </c>
      <c r="H2" s="66" t="s">
        <v>32</v>
      </c>
      <c r="I2" s="67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7.25" customHeight="1">
      <c r="A3" s="69">
        <v>1.0</v>
      </c>
      <c r="B3" s="70" t="str">
        <f>Cover!E18</f>
        <v/>
      </c>
      <c r="C3" s="71" t="s">
        <v>13</v>
      </c>
      <c r="D3" s="72" t="s">
        <v>33</v>
      </c>
      <c r="E3" s="72" t="s">
        <v>33</v>
      </c>
      <c r="F3" s="72"/>
      <c r="G3" s="72"/>
      <c r="H3" s="73"/>
      <c r="I3" s="74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3.5" customHeight="1">
      <c r="A4" s="76">
        <v>2.0</v>
      </c>
      <c r="B4" s="77"/>
      <c r="C4" s="78"/>
      <c r="D4" s="79"/>
      <c r="E4" s="79"/>
      <c r="F4" s="79"/>
      <c r="G4" s="79"/>
      <c r="H4" s="80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13.5" customHeight="1">
      <c r="A5" s="83"/>
      <c r="B5" s="83"/>
      <c r="C5" s="83"/>
      <c r="D5" s="83"/>
      <c r="E5" s="83"/>
      <c r="F5" s="83"/>
      <c r="G5" s="83"/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scale="5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5.43"/>
    <col customWidth="1" min="3" max="3" width="29.86"/>
    <col customWidth="1" min="4" max="5" width="10.29"/>
    <col customWidth="1" min="6" max="6" width="12.14"/>
    <col customWidth="1" min="7" max="7" width="10.29"/>
    <col customWidth="1" min="8" max="8" width="37.86"/>
    <col customWidth="1" min="9" max="9" width="3.29"/>
    <col customWidth="1" min="10" max="26" width="9.86"/>
  </cols>
  <sheetData>
    <row r="1" ht="25.5" customHeight="1">
      <c r="A1" s="6"/>
      <c r="B1" s="85" t="s">
        <v>34</v>
      </c>
      <c r="C1" s="14"/>
      <c r="D1" s="14"/>
      <c r="E1" s="14"/>
      <c r="F1" s="14"/>
      <c r="G1" s="14"/>
      <c r="H1" s="1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86"/>
      <c r="B2" s="87"/>
      <c r="C2" s="61"/>
      <c r="D2" s="61"/>
      <c r="E2" s="61"/>
      <c r="F2" s="61"/>
      <c r="G2" s="61"/>
      <c r="H2" s="8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75" customHeight="1">
      <c r="A3" s="89"/>
      <c r="B3" s="90" t="s">
        <v>17</v>
      </c>
      <c r="C3" s="91" t="str">
        <f>'Test Cases List'!D2</f>
        <v>ExBot</v>
      </c>
      <c r="D3" s="29"/>
      <c r="E3" s="92" t="s">
        <v>35</v>
      </c>
      <c r="F3" s="93"/>
      <c r="G3" s="94"/>
      <c r="H3" s="32"/>
      <c r="I3" s="9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8.5" customHeight="1">
      <c r="A4" s="89"/>
      <c r="B4" s="96" t="s">
        <v>18</v>
      </c>
      <c r="C4" s="97" t="str">
        <f>'Test Cases List'!D2</f>
        <v>ExBot</v>
      </c>
      <c r="D4" s="98"/>
      <c r="E4" s="99" t="s">
        <v>36</v>
      </c>
      <c r="F4" s="99"/>
      <c r="G4" s="100"/>
      <c r="H4" s="101"/>
      <c r="I4" s="9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75" customHeight="1">
      <c r="A5" s="89"/>
      <c r="B5" s="96" t="s">
        <v>37</v>
      </c>
      <c r="C5" s="102" t="str">
        <f>Cover!E15</f>
        <v>[ExBot] EB01_User Case_Integration Test Cases_v1.0</v>
      </c>
      <c r="D5" s="98"/>
      <c r="E5" s="99" t="s">
        <v>38</v>
      </c>
      <c r="F5" s="99"/>
      <c r="G5" s="103"/>
      <c r="H5" s="101"/>
      <c r="I5" s="9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1.75" customHeight="1">
      <c r="A6" s="104"/>
      <c r="B6" s="105" t="s">
        <v>39</v>
      </c>
      <c r="C6" s="106"/>
      <c r="D6" s="38"/>
      <c r="E6" s="38"/>
      <c r="F6" s="38"/>
      <c r="G6" s="38"/>
      <c r="H6" s="39"/>
      <c r="I6" s="9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86"/>
      <c r="B7" s="107"/>
      <c r="C7" s="108"/>
      <c r="D7" s="109"/>
      <c r="E7" s="109"/>
      <c r="F7" s="109"/>
      <c r="G7" s="109"/>
      <c r="H7" s="11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6"/>
      <c r="B8" s="111" t="s">
        <v>34</v>
      </c>
      <c r="C8" s="112"/>
      <c r="D8" s="61"/>
      <c r="E8" s="61"/>
      <c r="F8" s="61"/>
      <c r="G8" s="61"/>
      <c r="H8" s="8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89"/>
      <c r="B9" s="113" t="s">
        <v>19</v>
      </c>
      <c r="C9" s="114" t="s">
        <v>20</v>
      </c>
      <c r="D9" s="115" t="s">
        <v>40</v>
      </c>
      <c r="E9" s="114" t="s">
        <v>41</v>
      </c>
      <c r="F9" s="114" t="s">
        <v>42</v>
      </c>
      <c r="G9" s="114" t="s">
        <v>43</v>
      </c>
      <c r="H9" s="116" t="s">
        <v>44</v>
      </c>
      <c r="I9" s="9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89"/>
      <c r="B10" s="117">
        <v>1.0</v>
      </c>
      <c r="C10" s="118" t="str">
        <f>'Test Cases List'!C6</f>
        <v>GUI</v>
      </c>
      <c r="D10" s="119">
        <f>GUI!J4</f>
        <v>0</v>
      </c>
      <c r="E10" s="119">
        <f>GUI!L4</f>
        <v>0</v>
      </c>
      <c r="F10" s="119">
        <f>GUI!N4</f>
        <v>56</v>
      </c>
      <c r="G10" s="119">
        <f>GUI!P4</f>
        <v>4</v>
      </c>
      <c r="H10" s="120">
        <f>GUI!R4</f>
        <v>60</v>
      </c>
      <c r="I10" s="9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89"/>
      <c r="B11" s="117">
        <v>2.0</v>
      </c>
      <c r="C11" s="118" t="str">
        <f>'Test Cases List'!C7</f>
        <v>Function</v>
      </c>
      <c r="D11" s="119">
        <f>Function!J4</f>
        <v>0</v>
      </c>
      <c r="E11" s="119">
        <f>Function!L4</f>
        <v>0</v>
      </c>
      <c r="F11" s="119">
        <f>Function!N4</f>
        <v>52</v>
      </c>
      <c r="G11" s="119">
        <f>Function!P4</f>
        <v>0</v>
      </c>
      <c r="H11" s="120">
        <f>Function!R4</f>
        <v>52</v>
      </c>
      <c r="I11" s="9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89"/>
      <c r="B12" s="121"/>
      <c r="C12" s="122" t="s">
        <v>45</v>
      </c>
      <c r="D12" s="123">
        <f t="shared" ref="D12:H12" si="1">SUM(D9:D11)</f>
        <v>0</v>
      </c>
      <c r="E12" s="123">
        <f t="shared" si="1"/>
        <v>0</v>
      </c>
      <c r="F12" s="123">
        <f t="shared" si="1"/>
        <v>108</v>
      </c>
      <c r="G12" s="123">
        <f t="shared" si="1"/>
        <v>4</v>
      </c>
      <c r="H12" s="124">
        <f t="shared" si="1"/>
        <v>112</v>
      </c>
      <c r="I12" s="9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6"/>
      <c r="B13" s="125"/>
      <c r="C13" s="109"/>
      <c r="D13" s="126"/>
      <c r="E13" s="127"/>
      <c r="F13" s="127"/>
      <c r="G13" s="127"/>
      <c r="H13" s="12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0" customHeight="1">
      <c r="A14" s="6"/>
      <c r="B14" s="6"/>
      <c r="C14" s="128" t="s">
        <v>46</v>
      </c>
      <c r="D14" s="6"/>
      <c r="E14" s="129">
        <f>(D12+E12)*100/(H12-G12)</f>
        <v>0</v>
      </c>
      <c r="F14" s="6" t="s">
        <v>47</v>
      </c>
      <c r="G14" s="6"/>
      <c r="H14" s="13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128" t="s">
        <v>48</v>
      </c>
      <c r="D15" s="6"/>
      <c r="E15" s="129">
        <f>D12*100/(H12-G12)</f>
        <v>0</v>
      </c>
      <c r="F15" s="6" t="s">
        <v>47</v>
      </c>
      <c r="G15" s="6"/>
      <c r="H15" s="13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8">
    <mergeCell ref="B1:H1"/>
    <mergeCell ref="C3:D3"/>
    <mergeCell ref="G3:H3"/>
    <mergeCell ref="C4:D4"/>
    <mergeCell ref="G4:H4"/>
    <mergeCell ref="C5:D5"/>
    <mergeCell ref="G5:H5"/>
    <mergeCell ref="C6:H6"/>
  </mergeCells>
  <printOptions/>
  <pageMargins bottom="0.9840277777777777" footer="0.0" header="0.0" left="0.7479166666666667" right="0.7479166666666667" top="0.9840277777777778"/>
  <pageSetup scale="91" orientation="landscape"/>
  <headerFooter>
    <oddFooter>&amp;L 02ae-BM/PM/HDCV/FSOFT v2.1&amp;CInternal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Row="1"/>
  <cols>
    <col customWidth="1" min="1" max="1" width="14.57"/>
    <col customWidth="1" min="2" max="2" width="11.86"/>
    <col customWidth="1" min="3" max="3" width="27.0"/>
    <col customWidth="1" min="4" max="4" width="35.57"/>
    <col customWidth="1" min="5" max="5" width="47.29"/>
    <col customWidth="1" min="6" max="6" width="11.57"/>
    <col customWidth="1" min="7" max="7" width="14.71"/>
    <col customWidth="1" min="8" max="8" width="12.57"/>
    <col customWidth="1" min="9" max="9" width="13.0"/>
    <col customWidth="1" min="10" max="10" width="14.71"/>
    <col customWidth="1" min="11" max="15" width="12.71"/>
    <col customWidth="1" min="16" max="16" width="15.0"/>
    <col customWidth="1" min="17" max="17" width="11.86"/>
    <col customWidth="1" min="18" max="18" width="17.14"/>
    <col customWidth="1" min="19" max="19" width="12.71"/>
    <col customWidth="1" min="20" max="20" width="17.14"/>
    <col customWidth="1" min="21" max="29" width="9.86"/>
  </cols>
  <sheetData>
    <row r="1" ht="21.75" customHeight="1">
      <c r="A1" s="131" t="s">
        <v>49</v>
      </c>
      <c r="B1" s="132" t="s">
        <v>50</v>
      </c>
      <c r="C1" s="133"/>
      <c r="D1" s="134" t="s">
        <v>37</v>
      </c>
      <c r="E1" s="135" t="str">
        <f>Cover!E15</f>
        <v>[ExBot] EB01_User Case_Integration Test Cases_v1.0</v>
      </c>
      <c r="F1" s="136"/>
      <c r="G1" s="137" t="s">
        <v>51</v>
      </c>
      <c r="H1" s="138" t="s">
        <v>52</v>
      </c>
      <c r="I1" s="139" t="s">
        <v>40</v>
      </c>
      <c r="J1" s="140">
        <f>COUNTIF(J9:J30,"OK")+COUNTIF(R9:R30,"OK")</f>
        <v>0</v>
      </c>
      <c r="K1" s="139" t="s">
        <v>41</v>
      </c>
      <c r="L1" s="140">
        <f>COUNTIF(J9:J30,"NG")-COUNTIF(R9:R30,"OK")</f>
        <v>0</v>
      </c>
      <c r="M1" s="139" t="s">
        <v>42</v>
      </c>
      <c r="N1" s="140">
        <f>COUNTIF(J9:J296,"Untested")</f>
        <v>20</v>
      </c>
      <c r="O1" s="139" t="s">
        <v>43</v>
      </c>
      <c r="P1" s="140">
        <f>COUNTIF(J9:J30,"N/A")</f>
        <v>0</v>
      </c>
      <c r="Q1" s="139" t="s">
        <v>53</v>
      </c>
      <c r="R1" s="140">
        <f t="shared" ref="R1:R4" si="1">J1+L1+N1+P1</f>
        <v>20</v>
      </c>
      <c r="S1" s="139" t="s">
        <v>54</v>
      </c>
      <c r="T1" s="140">
        <f>COUNTA(K9:K30)</f>
        <v>0</v>
      </c>
      <c r="U1" s="141"/>
      <c r="V1" s="141"/>
      <c r="W1" s="141"/>
      <c r="X1" s="141"/>
      <c r="Y1" s="141"/>
      <c r="Z1" s="141"/>
      <c r="AA1" s="141"/>
      <c r="AB1" s="141"/>
      <c r="AC1" s="141"/>
    </row>
    <row r="2" ht="21.75" customHeight="1">
      <c r="A2" s="142" t="s">
        <v>55</v>
      </c>
      <c r="B2" s="133" t="s">
        <v>56</v>
      </c>
      <c r="C2" s="143"/>
      <c r="D2" s="134" t="s">
        <v>57</v>
      </c>
      <c r="E2" s="144"/>
      <c r="F2" s="136"/>
      <c r="G2" s="145"/>
      <c r="H2" s="138" t="s">
        <v>58</v>
      </c>
      <c r="I2" s="145"/>
      <c r="J2" s="140">
        <f>COUNTIF(L9:L30,"OK")+COUNTIF(S9:S30,"OK")</f>
        <v>0</v>
      </c>
      <c r="K2" s="145"/>
      <c r="L2" s="140">
        <f>COUNTIF(L9:L30,"NG")-COUNTIF(S9:S30,"OK")</f>
        <v>0</v>
      </c>
      <c r="M2" s="145"/>
      <c r="N2" s="140">
        <f>COUNTIF(L9:L30,"Untested")</f>
        <v>18</v>
      </c>
      <c r="O2" s="145"/>
      <c r="P2" s="140">
        <f>COUNTIF(L9:L30,"N/A")</f>
        <v>2</v>
      </c>
      <c r="Q2" s="145"/>
      <c r="R2" s="140">
        <f t="shared" si="1"/>
        <v>20</v>
      </c>
      <c r="S2" s="145"/>
      <c r="T2" s="140">
        <f>COUNTA(M9:M30)</f>
        <v>0</v>
      </c>
      <c r="U2" s="141"/>
      <c r="V2" s="141"/>
      <c r="W2" s="141"/>
      <c r="X2" s="141"/>
      <c r="Y2" s="141"/>
      <c r="Z2" s="141"/>
      <c r="AA2" s="141"/>
      <c r="AB2" s="141"/>
      <c r="AC2" s="141"/>
    </row>
    <row r="3" ht="24.0" customHeight="1">
      <c r="A3" s="146" t="s">
        <v>59</v>
      </c>
      <c r="B3" s="147" t="str">
        <f>Cover!E16</f>
        <v/>
      </c>
      <c r="C3" s="148"/>
      <c r="D3" s="134" t="s">
        <v>60</v>
      </c>
      <c r="E3" s="149" t="str">
        <f>Cover!E18</f>
        <v/>
      </c>
      <c r="F3" s="150"/>
      <c r="G3" s="151"/>
      <c r="H3" s="138" t="s">
        <v>61</v>
      </c>
      <c r="I3" s="145"/>
      <c r="J3" s="140">
        <f>COUNTIF(N9:N30,"OK")+COUNTIF(T9:T30,"OK")</f>
        <v>0</v>
      </c>
      <c r="K3" s="145"/>
      <c r="L3" s="140">
        <f>COUNTIF(N9:N30,"NG")-COUNTIF(T9:T30,"OK")</f>
        <v>0</v>
      </c>
      <c r="M3" s="145"/>
      <c r="N3" s="140">
        <f>COUNTIF(N9:N30,"Untested")</f>
        <v>18</v>
      </c>
      <c r="O3" s="145"/>
      <c r="P3" s="140">
        <f>COUNTIF(N9:N30,"N/A")</f>
        <v>2</v>
      </c>
      <c r="Q3" s="145"/>
      <c r="R3" s="140">
        <f t="shared" si="1"/>
        <v>20</v>
      </c>
      <c r="S3" s="145"/>
      <c r="T3" s="140">
        <f>COUNTA(O9:O30)</f>
        <v>0</v>
      </c>
      <c r="U3" s="152"/>
      <c r="V3" s="152"/>
      <c r="W3" s="152"/>
      <c r="X3" s="152"/>
      <c r="Y3" s="152"/>
      <c r="Z3" s="152"/>
      <c r="AA3" s="152"/>
      <c r="AB3" s="152"/>
      <c r="AC3" s="152"/>
    </row>
    <row r="4" ht="21.75" customHeight="1">
      <c r="A4" s="146" t="s">
        <v>62</v>
      </c>
      <c r="B4" s="147"/>
      <c r="C4" s="148"/>
      <c r="D4" s="134" t="s">
        <v>63</v>
      </c>
      <c r="E4" s="149"/>
      <c r="F4" s="150"/>
      <c r="G4" s="153" t="s">
        <v>45</v>
      </c>
      <c r="H4" s="150"/>
      <c r="I4" s="151"/>
      <c r="J4" s="154">
        <f>SUM(J1:J3)</f>
        <v>0</v>
      </c>
      <c r="K4" s="151"/>
      <c r="L4" s="154">
        <f>SUM(L1:L3)</f>
        <v>0</v>
      </c>
      <c r="M4" s="151"/>
      <c r="N4" s="154">
        <f>SUM(N1:N3)</f>
        <v>56</v>
      </c>
      <c r="O4" s="151"/>
      <c r="P4" s="154">
        <f>SUM(P1:P3)</f>
        <v>4</v>
      </c>
      <c r="Q4" s="151"/>
      <c r="R4" s="155">
        <f t="shared" si="1"/>
        <v>60</v>
      </c>
      <c r="S4" s="151"/>
      <c r="T4" s="154">
        <f>SUM(T1:T3)</f>
        <v>0</v>
      </c>
      <c r="U4" s="152"/>
      <c r="V4" s="152"/>
      <c r="W4" s="152"/>
      <c r="X4" s="152"/>
      <c r="Y4" s="152"/>
      <c r="Z4" s="152"/>
      <c r="AA4" s="152"/>
      <c r="AB4" s="152"/>
      <c r="AC4" s="152"/>
    </row>
    <row r="5" ht="13.5" customHeight="1">
      <c r="A5" s="156" t="s">
        <v>64</v>
      </c>
      <c r="B5" s="157" t="s">
        <v>65</v>
      </c>
      <c r="C5" s="158" t="s">
        <v>66</v>
      </c>
      <c r="D5" s="158" t="s">
        <v>67</v>
      </c>
      <c r="E5" s="158" t="s">
        <v>68</v>
      </c>
      <c r="F5" s="158" t="s">
        <v>69</v>
      </c>
      <c r="G5" s="158" t="s">
        <v>70</v>
      </c>
      <c r="H5" s="159" t="s">
        <v>71</v>
      </c>
      <c r="I5" s="148"/>
      <c r="J5" s="159" t="s">
        <v>52</v>
      </c>
      <c r="K5" s="148"/>
      <c r="L5" s="159" t="s">
        <v>58</v>
      </c>
      <c r="M5" s="148"/>
      <c r="N5" s="159" t="s">
        <v>61</v>
      </c>
      <c r="O5" s="148"/>
      <c r="P5" s="160" t="s">
        <v>72</v>
      </c>
      <c r="Q5" s="150"/>
      <c r="R5" s="161" t="s">
        <v>52</v>
      </c>
      <c r="S5" s="162" t="s">
        <v>58</v>
      </c>
      <c r="T5" s="161" t="s">
        <v>61</v>
      </c>
      <c r="U5" s="163"/>
      <c r="V5" s="163"/>
      <c r="W5" s="163"/>
      <c r="X5" s="163"/>
      <c r="Y5" s="163"/>
      <c r="Z5" s="163"/>
      <c r="AA5" s="163"/>
      <c r="AB5" s="163"/>
      <c r="AC5" s="163"/>
    </row>
    <row r="6">
      <c r="A6" s="164" t="s">
        <v>73</v>
      </c>
      <c r="B6" s="151"/>
      <c r="C6" s="151"/>
      <c r="D6" s="151"/>
      <c r="E6" s="151"/>
      <c r="F6" s="151"/>
      <c r="G6" s="151"/>
      <c r="H6" s="165" t="s">
        <v>74</v>
      </c>
      <c r="I6" s="166" t="s">
        <v>75</v>
      </c>
      <c r="J6" s="165" t="s">
        <v>76</v>
      </c>
      <c r="K6" s="165" t="s">
        <v>77</v>
      </c>
      <c r="L6" s="165" t="s">
        <v>76</v>
      </c>
      <c r="M6" s="165" t="s">
        <v>77</v>
      </c>
      <c r="N6" s="165" t="s">
        <v>76</v>
      </c>
      <c r="O6" s="165" t="s">
        <v>77</v>
      </c>
      <c r="P6" s="167" t="s">
        <v>74</v>
      </c>
      <c r="Q6" s="168" t="s">
        <v>75</v>
      </c>
      <c r="R6" s="160" t="s">
        <v>76</v>
      </c>
      <c r="S6" s="148"/>
      <c r="T6" s="150"/>
      <c r="U6" s="163"/>
      <c r="V6" s="163"/>
      <c r="W6" s="163"/>
      <c r="X6" s="163"/>
      <c r="Y6" s="163"/>
      <c r="Z6" s="163"/>
      <c r="AA6" s="163"/>
      <c r="AB6" s="163"/>
      <c r="AC6" s="163"/>
    </row>
    <row r="7">
      <c r="A7" s="169"/>
      <c r="B7" s="170" t="s">
        <v>78</v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1"/>
      <c r="V7" s="171"/>
      <c r="W7" s="171"/>
      <c r="X7" s="171"/>
      <c r="Y7" s="171"/>
      <c r="Z7" s="171"/>
      <c r="AA7" s="171"/>
      <c r="AB7" s="171"/>
      <c r="AC7" s="171"/>
    </row>
    <row r="8">
      <c r="A8" s="172"/>
      <c r="B8" s="173" t="s">
        <v>79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5"/>
      <c r="U8" s="176"/>
      <c r="V8" s="176"/>
      <c r="W8" s="176"/>
      <c r="X8" s="176"/>
      <c r="Y8" s="176"/>
      <c r="Z8" s="176"/>
      <c r="AA8" s="176"/>
      <c r="AB8" s="176"/>
      <c r="AC8" s="176"/>
    </row>
    <row r="9" outlineLevel="1">
      <c r="A9" s="177" t="str">
        <f t="shared" ref="A9:A30" si="2">IF(E9&lt;&gt;"","GUI_"&amp;TEXT(ROW()-8-COUNTBLANK($E$9:E9),"###"),"")</f>
        <v>GUI_1</v>
      </c>
      <c r="B9" s="178"/>
      <c r="C9" s="179" t="s">
        <v>80</v>
      </c>
      <c r="D9" s="180" t="s">
        <v>81</v>
      </c>
      <c r="E9" s="180" t="s">
        <v>82</v>
      </c>
      <c r="F9" s="181" t="s">
        <v>83</v>
      </c>
      <c r="G9" s="182"/>
      <c r="H9" s="183"/>
      <c r="I9" s="184"/>
      <c r="J9" s="185" t="s">
        <v>42</v>
      </c>
      <c r="K9" s="186"/>
      <c r="L9" s="185" t="s">
        <v>42</v>
      </c>
      <c r="M9" s="186"/>
      <c r="N9" s="185" t="s">
        <v>42</v>
      </c>
      <c r="O9" s="186"/>
      <c r="P9" s="187"/>
      <c r="Q9" s="188"/>
      <c r="R9" s="187"/>
      <c r="S9" s="187"/>
      <c r="T9" s="187"/>
      <c r="U9" s="189"/>
      <c r="V9" s="189"/>
      <c r="W9" s="189"/>
      <c r="X9" s="189"/>
      <c r="Y9" s="189"/>
      <c r="Z9" s="189"/>
      <c r="AA9" s="189"/>
      <c r="AB9" s="189"/>
      <c r="AC9" s="189"/>
    </row>
    <row r="10" outlineLevel="1">
      <c r="A10" s="177" t="str">
        <f t="shared" si="2"/>
        <v>GUI_2</v>
      </c>
      <c r="B10" s="178"/>
      <c r="C10" s="190" t="s">
        <v>84</v>
      </c>
      <c r="D10" s="190" t="s">
        <v>84</v>
      </c>
      <c r="E10" s="191" t="s">
        <v>85</v>
      </c>
      <c r="F10" s="181" t="s">
        <v>83</v>
      </c>
      <c r="G10" s="178"/>
      <c r="H10" s="183"/>
      <c r="I10" s="184"/>
      <c r="J10" s="185" t="s">
        <v>42</v>
      </c>
      <c r="K10" s="186"/>
      <c r="L10" s="185" t="s">
        <v>42</v>
      </c>
      <c r="M10" s="186"/>
      <c r="N10" s="185" t="s">
        <v>42</v>
      </c>
      <c r="O10" s="186"/>
      <c r="P10" s="187"/>
      <c r="Q10" s="188"/>
      <c r="R10" s="187"/>
      <c r="S10" s="187"/>
      <c r="T10" s="187"/>
      <c r="U10" s="189"/>
      <c r="V10" s="189"/>
      <c r="W10" s="189"/>
      <c r="X10" s="189"/>
      <c r="Y10" s="189"/>
      <c r="Z10" s="189"/>
      <c r="AA10" s="189"/>
      <c r="AB10" s="189"/>
      <c r="AC10" s="189"/>
    </row>
    <row r="11" outlineLevel="1">
      <c r="A11" s="177" t="str">
        <f t="shared" si="2"/>
        <v>GUI_3</v>
      </c>
      <c r="B11" s="178"/>
      <c r="C11" s="190" t="s">
        <v>86</v>
      </c>
      <c r="D11" s="190" t="s">
        <v>86</v>
      </c>
      <c r="E11" s="191" t="s">
        <v>87</v>
      </c>
      <c r="F11" s="181" t="s">
        <v>83</v>
      </c>
      <c r="G11" s="178"/>
      <c r="H11" s="183"/>
      <c r="I11" s="184"/>
      <c r="J11" s="185" t="s">
        <v>42</v>
      </c>
      <c r="K11" s="186"/>
      <c r="L11" s="185" t="s">
        <v>42</v>
      </c>
      <c r="M11" s="186"/>
      <c r="N11" s="185" t="s">
        <v>42</v>
      </c>
      <c r="O11" s="186"/>
      <c r="P11" s="187"/>
      <c r="Q11" s="188"/>
      <c r="R11" s="187"/>
      <c r="S11" s="187"/>
      <c r="T11" s="187"/>
      <c r="U11" s="189"/>
      <c r="V11" s="189"/>
      <c r="W11" s="189"/>
      <c r="X11" s="189"/>
      <c r="Y11" s="189"/>
      <c r="Z11" s="189"/>
      <c r="AA11" s="189"/>
      <c r="AB11" s="189"/>
      <c r="AC11" s="189"/>
    </row>
    <row r="12" outlineLevel="1">
      <c r="A12" s="177" t="str">
        <f t="shared" si="2"/>
        <v>GUI_4</v>
      </c>
      <c r="B12" s="178"/>
      <c r="C12" s="190" t="s">
        <v>88</v>
      </c>
      <c r="D12" s="190" t="s">
        <v>89</v>
      </c>
      <c r="E12" s="191" t="s">
        <v>90</v>
      </c>
      <c r="F12" s="181" t="s">
        <v>83</v>
      </c>
      <c r="G12" s="178"/>
      <c r="H12" s="192"/>
      <c r="I12" s="193"/>
      <c r="J12" s="185" t="s">
        <v>42</v>
      </c>
      <c r="K12" s="186"/>
      <c r="L12" s="185" t="s">
        <v>42</v>
      </c>
      <c r="M12" s="186"/>
      <c r="N12" s="185" t="s">
        <v>42</v>
      </c>
      <c r="O12" s="186"/>
      <c r="P12" s="187"/>
      <c r="Q12" s="188"/>
      <c r="R12" s="187"/>
      <c r="S12" s="187"/>
      <c r="T12" s="187"/>
      <c r="U12" s="189"/>
      <c r="V12" s="189"/>
      <c r="W12" s="189"/>
      <c r="X12" s="189"/>
      <c r="Y12" s="189"/>
      <c r="Z12" s="189"/>
      <c r="AA12" s="189"/>
      <c r="AB12" s="189"/>
      <c r="AC12" s="189"/>
    </row>
    <row r="13" outlineLevel="1">
      <c r="A13" s="177" t="str">
        <f t="shared" si="2"/>
        <v>GUI_5</v>
      </c>
      <c r="B13" s="194"/>
      <c r="C13" s="195" t="s">
        <v>91</v>
      </c>
      <c r="D13" s="195" t="s">
        <v>92</v>
      </c>
      <c r="E13" s="196" t="s">
        <v>93</v>
      </c>
      <c r="F13" s="181" t="s">
        <v>83</v>
      </c>
      <c r="G13" s="194"/>
      <c r="H13" s="197"/>
      <c r="I13" s="198"/>
      <c r="J13" s="199" t="s">
        <v>42</v>
      </c>
      <c r="K13" s="200"/>
      <c r="L13" s="199" t="s">
        <v>42</v>
      </c>
      <c r="M13" s="200"/>
      <c r="N13" s="199" t="s">
        <v>42</v>
      </c>
      <c r="O13" s="200"/>
      <c r="P13" s="201"/>
      <c r="Q13" s="202"/>
      <c r="R13" s="201"/>
      <c r="S13" s="201"/>
      <c r="T13" s="201"/>
      <c r="U13" s="189"/>
      <c r="V13" s="189"/>
      <c r="W13" s="189"/>
      <c r="X13" s="189"/>
      <c r="Y13" s="189"/>
      <c r="Z13" s="189"/>
      <c r="AA13" s="189"/>
      <c r="AB13" s="189"/>
      <c r="AC13" s="189"/>
    </row>
    <row r="14" ht="14.25" customHeight="1">
      <c r="A14" s="177" t="str">
        <f t="shared" si="2"/>
        <v/>
      </c>
      <c r="B14" s="173" t="s">
        <v>94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5"/>
      <c r="U14" s="189"/>
      <c r="V14" s="189"/>
      <c r="W14" s="189"/>
      <c r="X14" s="189"/>
      <c r="Y14" s="189"/>
      <c r="Z14" s="189"/>
      <c r="AA14" s="189"/>
      <c r="AB14" s="189"/>
      <c r="AC14" s="189"/>
    </row>
    <row r="15" outlineLevel="1">
      <c r="A15" s="177" t="str">
        <f t="shared" si="2"/>
        <v/>
      </c>
      <c r="B15" s="178"/>
      <c r="C15" s="203"/>
      <c r="D15" s="203"/>
      <c r="E15" s="203"/>
      <c r="F15" s="181" t="s">
        <v>83</v>
      </c>
      <c r="G15" s="178"/>
      <c r="H15" s="192"/>
      <c r="I15" s="193"/>
      <c r="J15" s="185" t="s">
        <v>42</v>
      </c>
      <c r="K15" s="193"/>
      <c r="L15" s="185" t="s">
        <v>42</v>
      </c>
      <c r="M15" s="193"/>
      <c r="N15" s="185" t="s">
        <v>42</v>
      </c>
      <c r="O15" s="193"/>
      <c r="P15" s="204"/>
      <c r="Q15" s="205"/>
      <c r="R15" s="204"/>
      <c r="S15" s="204"/>
      <c r="T15" s="204"/>
      <c r="U15" s="189"/>
      <c r="V15" s="189"/>
      <c r="W15" s="189"/>
      <c r="X15" s="189"/>
      <c r="Y15" s="189"/>
      <c r="Z15" s="189"/>
      <c r="AA15" s="189"/>
      <c r="AB15" s="189"/>
      <c r="AC15" s="189"/>
    </row>
    <row r="16" outlineLevel="1">
      <c r="A16" s="177" t="str">
        <f t="shared" si="2"/>
        <v/>
      </c>
      <c r="B16" s="178"/>
      <c r="C16" s="203"/>
      <c r="D16" s="203"/>
      <c r="E16" s="203"/>
      <c r="F16" s="181" t="s">
        <v>83</v>
      </c>
      <c r="G16" s="178"/>
      <c r="H16" s="192"/>
      <c r="I16" s="193"/>
      <c r="J16" s="185" t="s">
        <v>42</v>
      </c>
      <c r="K16" s="193"/>
      <c r="L16" s="185" t="s">
        <v>42</v>
      </c>
      <c r="M16" s="193"/>
      <c r="N16" s="185" t="s">
        <v>42</v>
      </c>
      <c r="O16" s="193"/>
      <c r="P16" s="204"/>
      <c r="Q16" s="205"/>
      <c r="R16" s="204"/>
      <c r="S16" s="204"/>
      <c r="T16" s="204"/>
      <c r="U16" s="189"/>
      <c r="V16" s="189"/>
      <c r="W16" s="189"/>
      <c r="X16" s="189"/>
      <c r="Y16" s="189"/>
      <c r="Z16" s="189"/>
      <c r="AA16" s="189"/>
      <c r="AB16" s="189"/>
      <c r="AC16" s="189"/>
    </row>
    <row r="17" outlineLevel="1">
      <c r="A17" s="177" t="str">
        <f t="shared" si="2"/>
        <v/>
      </c>
      <c r="B17" s="178"/>
      <c r="C17" s="203"/>
      <c r="D17" s="203"/>
      <c r="E17" s="203"/>
      <c r="F17" s="181" t="s">
        <v>83</v>
      </c>
      <c r="G17" s="178"/>
      <c r="H17" s="192"/>
      <c r="I17" s="193"/>
      <c r="J17" s="185" t="s">
        <v>42</v>
      </c>
      <c r="K17" s="193"/>
      <c r="L17" s="185" t="s">
        <v>42</v>
      </c>
      <c r="M17" s="193"/>
      <c r="N17" s="185" t="s">
        <v>42</v>
      </c>
      <c r="O17" s="193"/>
      <c r="P17" s="204"/>
      <c r="Q17" s="205"/>
      <c r="R17" s="204"/>
      <c r="S17" s="204"/>
      <c r="T17" s="204"/>
      <c r="U17" s="189"/>
      <c r="V17" s="189"/>
      <c r="W17" s="189"/>
      <c r="X17" s="189"/>
      <c r="Y17" s="189"/>
      <c r="Z17" s="189"/>
      <c r="AA17" s="189"/>
      <c r="AB17" s="189"/>
      <c r="AC17" s="189"/>
    </row>
    <row r="18" outlineLevel="1">
      <c r="A18" s="177" t="str">
        <f t="shared" si="2"/>
        <v/>
      </c>
      <c r="B18" s="178"/>
      <c r="C18" s="203"/>
      <c r="D18" s="203"/>
      <c r="E18" s="203"/>
      <c r="F18" s="181" t="s">
        <v>83</v>
      </c>
      <c r="G18" s="178"/>
      <c r="H18" s="192"/>
      <c r="I18" s="193"/>
      <c r="J18" s="185" t="s">
        <v>42</v>
      </c>
      <c r="K18" s="193"/>
      <c r="L18" s="185" t="s">
        <v>42</v>
      </c>
      <c r="M18" s="193"/>
      <c r="N18" s="185" t="s">
        <v>42</v>
      </c>
      <c r="O18" s="193"/>
      <c r="P18" s="204"/>
      <c r="Q18" s="205"/>
      <c r="R18" s="204"/>
      <c r="S18" s="204"/>
      <c r="T18" s="204"/>
      <c r="U18" s="189"/>
      <c r="V18" s="189"/>
      <c r="W18" s="189"/>
      <c r="X18" s="189"/>
      <c r="Y18" s="189"/>
      <c r="Z18" s="189"/>
      <c r="AA18" s="189"/>
      <c r="AB18" s="189"/>
      <c r="AC18" s="189"/>
    </row>
    <row r="19" outlineLevel="1">
      <c r="A19" s="177" t="str">
        <f t="shared" si="2"/>
        <v/>
      </c>
      <c r="B19" s="178"/>
      <c r="C19" s="203"/>
      <c r="D19" s="203"/>
      <c r="E19" s="203"/>
      <c r="F19" s="181" t="s">
        <v>83</v>
      </c>
      <c r="G19" s="178"/>
      <c r="H19" s="192"/>
      <c r="I19" s="193"/>
      <c r="J19" s="185" t="s">
        <v>42</v>
      </c>
      <c r="K19" s="193"/>
      <c r="L19" s="185" t="s">
        <v>42</v>
      </c>
      <c r="M19" s="193"/>
      <c r="N19" s="185" t="s">
        <v>42</v>
      </c>
      <c r="O19" s="193"/>
      <c r="P19" s="204"/>
      <c r="Q19" s="205"/>
      <c r="R19" s="204"/>
      <c r="S19" s="204"/>
      <c r="T19" s="204"/>
      <c r="U19" s="189"/>
      <c r="V19" s="189"/>
      <c r="W19" s="189"/>
      <c r="X19" s="189"/>
      <c r="Y19" s="189"/>
      <c r="Z19" s="189"/>
      <c r="AA19" s="189"/>
      <c r="AB19" s="189"/>
      <c r="AC19" s="189"/>
    </row>
    <row r="20" outlineLevel="1">
      <c r="A20" s="177" t="str">
        <f t="shared" si="2"/>
        <v/>
      </c>
      <c r="B20" s="178"/>
      <c r="C20" s="203"/>
      <c r="D20" s="203"/>
      <c r="E20" s="203"/>
      <c r="F20" s="181" t="s">
        <v>83</v>
      </c>
      <c r="G20" s="178"/>
      <c r="H20" s="192"/>
      <c r="I20" s="193"/>
      <c r="J20" s="185" t="s">
        <v>42</v>
      </c>
      <c r="K20" s="193"/>
      <c r="L20" s="185" t="s">
        <v>42</v>
      </c>
      <c r="M20" s="193"/>
      <c r="N20" s="185" t="s">
        <v>42</v>
      </c>
      <c r="O20" s="193"/>
      <c r="P20" s="204"/>
      <c r="Q20" s="205"/>
      <c r="R20" s="204"/>
      <c r="S20" s="204"/>
      <c r="T20" s="204"/>
      <c r="U20" s="189"/>
      <c r="V20" s="189"/>
      <c r="W20" s="189"/>
      <c r="X20" s="189"/>
      <c r="Y20" s="189"/>
      <c r="Z20" s="189"/>
      <c r="AA20" s="189"/>
      <c r="AB20" s="189"/>
      <c r="AC20" s="189"/>
    </row>
    <row r="21" outlineLevel="1">
      <c r="A21" s="177" t="str">
        <f t="shared" si="2"/>
        <v/>
      </c>
      <c r="B21" s="178"/>
      <c r="C21" s="203"/>
      <c r="D21" s="203"/>
      <c r="E21" s="203"/>
      <c r="F21" s="181" t="s">
        <v>83</v>
      </c>
      <c r="G21" s="178"/>
      <c r="H21" s="192"/>
      <c r="I21" s="193"/>
      <c r="J21" s="185" t="s">
        <v>42</v>
      </c>
      <c r="K21" s="193"/>
      <c r="L21" s="185" t="s">
        <v>42</v>
      </c>
      <c r="M21" s="193"/>
      <c r="N21" s="185" t="s">
        <v>42</v>
      </c>
      <c r="O21" s="193"/>
      <c r="P21" s="204"/>
      <c r="Q21" s="205"/>
      <c r="R21" s="204"/>
      <c r="S21" s="204"/>
      <c r="T21" s="204"/>
      <c r="U21" s="189"/>
      <c r="V21" s="189"/>
      <c r="W21" s="189"/>
      <c r="X21" s="189"/>
      <c r="Y21" s="189"/>
      <c r="Z21" s="189"/>
      <c r="AA21" s="189"/>
      <c r="AB21" s="189"/>
      <c r="AC21" s="189"/>
    </row>
    <row r="22" outlineLevel="1">
      <c r="A22" s="177" t="str">
        <f t="shared" si="2"/>
        <v/>
      </c>
      <c r="B22" s="178"/>
      <c r="C22" s="203"/>
      <c r="D22" s="203"/>
      <c r="E22" s="203"/>
      <c r="F22" s="181" t="s">
        <v>83</v>
      </c>
      <c r="G22" s="178"/>
      <c r="H22" s="192"/>
      <c r="I22" s="193"/>
      <c r="J22" s="185" t="s">
        <v>42</v>
      </c>
      <c r="K22" s="193"/>
      <c r="L22" s="185" t="s">
        <v>42</v>
      </c>
      <c r="M22" s="193"/>
      <c r="N22" s="185" t="s">
        <v>42</v>
      </c>
      <c r="O22" s="193"/>
      <c r="P22" s="204"/>
      <c r="Q22" s="205"/>
      <c r="R22" s="204"/>
      <c r="S22" s="204"/>
      <c r="T22" s="204"/>
      <c r="U22" s="189"/>
      <c r="V22" s="189"/>
      <c r="W22" s="189"/>
      <c r="X22" s="189"/>
      <c r="Y22" s="189"/>
      <c r="Z22" s="189"/>
      <c r="AA22" s="189"/>
      <c r="AB22" s="189"/>
      <c r="AC22" s="189"/>
    </row>
    <row r="23" outlineLevel="1">
      <c r="A23" s="177" t="str">
        <f t="shared" si="2"/>
        <v/>
      </c>
      <c r="B23" s="178"/>
      <c r="C23" s="203"/>
      <c r="D23" s="203"/>
      <c r="E23" s="203"/>
      <c r="F23" s="181" t="s">
        <v>83</v>
      </c>
      <c r="G23" s="178"/>
      <c r="H23" s="192"/>
      <c r="I23" s="193"/>
      <c r="J23" s="185" t="s">
        <v>42</v>
      </c>
      <c r="K23" s="193"/>
      <c r="L23" s="185" t="s">
        <v>42</v>
      </c>
      <c r="M23" s="193"/>
      <c r="N23" s="185" t="s">
        <v>42</v>
      </c>
      <c r="O23" s="193"/>
      <c r="P23" s="204"/>
      <c r="Q23" s="205"/>
      <c r="R23" s="204"/>
      <c r="S23" s="204"/>
      <c r="T23" s="204"/>
      <c r="U23" s="189"/>
      <c r="V23" s="189"/>
      <c r="W23" s="189"/>
      <c r="X23" s="189"/>
      <c r="Y23" s="189"/>
      <c r="Z23" s="189"/>
      <c r="AA23" s="189"/>
      <c r="AB23" s="189"/>
      <c r="AC23" s="189"/>
    </row>
    <row r="24" ht="14.25" customHeight="1">
      <c r="A24" s="177" t="str">
        <f t="shared" si="2"/>
        <v/>
      </c>
      <c r="B24" s="173" t="s">
        <v>95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5"/>
      <c r="U24" s="189"/>
      <c r="V24" s="189"/>
      <c r="W24" s="189"/>
      <c r="X24" s="189"/>
      <c r="Y24" s="189"/>
      <c r="Z24" s="189"/>
      <c r="AA24" s="189"/>
      <c r="AB24" s="189"/>
      <c r="AC24" s="189"/>
    </row>
    <row r="25" outlineLevel="1">
      <c r="A25" s="177" t="str">
        <f t="shared" si="2"/>
        <v>GUI_6</v>
      </c>
      <c r="B25" s="178"/>
      <c r="C25" s="190" t="s">
        <v>96</v>
      </c>
      <c r="D25" s="190" t="s">
        <v>97</v>
      </c>
      <c r="E25" s="191" t="s">
        <v>98</v>
      </c>
      <c r="F25" s="206" t="s">
        <v>99</v>
      </c>
      <c r="G25" s="178"/>
      <c r="H25" s="192"/>
      <c r="I25" s="193"/>
      <c r="J25" s="199" t="s">
        <v>42</v>
      </c>
      <c r="K25" s="198"/>
      <c r="L25" s="199" t="s">
        <v>42</v>
      </c>
      <c r="M25" s="198"/>
      <c r="N25" s="199" t="s">
        <v>42</v>
      </c>
      <c r="O25" s="198"/>
      <c r="P25" s="207"/>
      <c r="Q25" s="208"/>
      <c r="R25" s="207"/>
      <c r="S25" s="207"/>
      <c r="T25" s="207"/>
      <c r="U25" s="189"/>
      <c r="V25" s="189"/>
      <c r="W25" s="189"/>
      <c r="X25" s="189"/>
      <c r="Y25" s="189"/>
      <c r="Z25" s="189"/>
      <c r="AA25" s="189"/>
      <c r="AB25" s="189"/>
      <c r="AC25" s="189"/>
    </row>
    <row r="26" outlineLevel="1">
      <c r="A26" s="177" t="str">
        <f t="shared" si="2"/>
        <v>GUI_7</v>
      </c>
      <c r="B26" s="178"/>
      <c r="C26" s="190" t="s">
        <v>100</v>
      </c>
      <c r="D26" s="190" t="s">
        <v>101</v>
      </c>
      <c r="E26" s="191" t="s">
        <v>102</v>
      </c>
      <c r="F26" s="206" t="s">
        <v>99</v>
      </c>
      <c r="G26" s="178"/>
      <c r="H26" s="192"/>
      <c r="I26" s="193"/>
      <c r="J26" s="199" t="s">
        <v>42</v>
      </c>
      <c r="K26" s="198"/>
      <c r="L26" s="199" t="s">
        <v>42</v>
      </c>
      <c r="M26" s="198"/>
      <c r="N26" s="199" t="s">
        <v>42</v>
      </c>
      <c r="O26" s="198"/>
      <c r="P26" s="207"/>
      <c r="Q26" s="208"/>
      <c r="R26" s="207"/>
      <c r="S26" s="207"/>
      <c r="T26" s="207"/>
      <c r="U26" s="189"/>
      <c r="V26" s="189"/>
      <c r="W26" s="189"/>
      <c r="X26" s="189"/>
      <c r="Y26" s="189"/>
      <c r="Z26" s="189"/>
      <c r="AA26" s="189"/>
      <c r="AB26" s="189"/>
      <c r="AC26" s="189"/>
    </row>
    <row r="27" outlineLevel="1">
      <c r="A27" s="177" t="str">
        <f t="shared" si="2"/>
        <v>GUI_8</v>
      </c>
      <c r="B27" s="178"/>
      <c r="C27" s="190" t="s">
        <v>103</v>
      </c>
      <c r="D27" s="190" t="s">
        <v>104</v>
      </c>
      <c r="E27" s="191" t="s">
        <v>98</v>
      </c>
      <c r="F27" s="206" t="s">
        <v>99</v>
      </c>
      <c r="G27" s="178"/>
      <c r="H27" s="192"/>
      <c r="I27" s="193"/>
      <c r="J27" s="199" t="s">
        <v>42</v>
      </c>
      <c r="K27" s="198"/>
      <c r="L27" s="199" t="s">
        <v>43</v>
      </c>
      <c r="M27" s="198"/>
      <c r="N27" s="199" t="s">
        <v>43</v>
      </c>
      <c r="O27" s="198"/>
      <c r="P27" s="207"/>
      <c r="Q27" s="208"/>
      <c r="R27" s="207"/>
      <c r="S27" s="207"/>
      <c r="T27" s="207"/>
      <c r="U27" s="189"/>
      <c r="V27" s="189"/>
      <c r="W27" s="189"/>
      <c r="X27" s="189"/>
      <c r="Y27" s="189"/>
      <c r="Z27" s="189"/>
      <c r="AA27" s="189"/>
      <c r="AB27" s="189"/>
      <c r="AC27" s="189"/>
    </row>
    <row r="28" outlineLevel="1">
      <c r="A28" s="177" t="str">
        <f t="shared" si="2"/>
        <v>GUI_9</v>
      </c>
      <c r="B28" s="178"/>
      <c r="C28" s="190" t="s">
        <v>105</v>
      </c>
      <c r="D28" s="190" t="s">
        <v>106</v>
      </c>
      <c r="E28" s="191" t="s">
        <v>98</v>
      </c>
      <c r="F28" s="206" t="s">
        <v>99</v>
      </c>
      <c r="G28" s="178"/>
      <c r="H28" s="192"/>
      <c r="I28" s="193"/>
      <c r="J28" s="199" t="s">
        <v>42</v>
      </c>
      <c r="K28" s="198"/>
      <c r="L28" s="199" t="s">
        <v>42</v>
      </c>
      <c r="M28" s="198"/>
      <c r="N28" s="199" t="s">
        <v>42</v>
      </c>
      <c r="O28" s="198"/>
      <c r="P28" s="207"/>
      <c r="Q28" s="208"/>
      <c r="R28" s="207"/>
      <c r="S28" s="207"/>
      <c r="T28" s="207"/>
      <c r="U28" s="189"/>
      <c r="V28" s="189"/>
      <c r="W28" s="189"/>
      <c r="X28" s="189"/>
      <c r="Y28" s="189"/>
      <c r="Z28" s="189"/>
      <c r="AA28" s="189"/>
      <c r="AB28" s="189"/>
      <c r="AC28" s="189"/>
    </row>
    <row r="29" outlineLevel="1">
      <c r="A29" s="177" t="str">
        <f t="shared" si="2"/>
        <v>GUI_10</v>
      </c>
      <c r="B29" s="178"/>
      <c r="C29" s="209" t="s">
        <v>107</v>
      </c>
      <c r="D29" s="210" t="s">
        <v>108</v>
      </c>
      <c r="E29" s="211" t="s">
        <v>109</v>
      </c>
      <c r="F29" s="206" t="s">
        <v>99</v>
      </c>
      <c r="G29" s="178"/>
      <c r="H29" s="192"/>
      <c r="I29" s="193"/>
      <c r="J29" s="199" t="s">
        <v>42</v>
      </c>
      <c r="K29" s="198"/>
      <c r="L29" s="199" t="s">
        <v>43</v>
      </c>
      <c r="M29" s="198"/>
      <c r="N29" s="199" t="s">
        <v>43</v>
      </c>
      <c r="O29" s="198"/>
      <c r="P29" s="207"/>
      <c r="Q29" s="208"/>
      <c r="R29" s="207"/>
      <c r="S29" s="207"/>
      <c r="T29" s="207"/>
      <c r="U29" s="189"/>
      <c r="V29" s="189"/>
      <c r="W29" s="189"/>
      <c r="X29" s="189"/>
      <c r="Y29" s="189"/>
      <c r="Z29" s="189"/>
      <c r="AA29" s="189"/>
      <c r="AB29" s="189"/>
      <c r="AC29" s="189"/>
    </row>
    <row r="30" outlineLevel="1">
      <c r="A30" s="177" t="str">
        <f t="shared" si="2"/>
        <v>GUI_11</v>
      </c>
      <c r="B30" s="178"/>
      <c r="C30" s="190" t="s">
        <v>110</v>
      </c>
      <c r="D30" s="190" t="s">
        <v>111</v>
      </c>
      <c r="E30" s="191" t="s">
        <v>98</v>
      </c>
      <c r="F30" s="181" t="s">
        <v>99</v>
      </c>
      <c r="G30" s="178"/>
      <c r="H30" s="192"/>
      <c r="I30" s="193"/>
      <c r="J30" s="185" t="s">
        <v>42</v>
      </c>
      <c r="K30" s="193"/>
      <c r="L30" s="185" t="s">
        <v>42</v>
      </c>
      <c r="M30" s="193"/>
      <c r="N30" s="185" t="s">
        <v>42</v>
      </c>
      <c r="O30" s="193"/>
      <c r="P30" s="204"/>
      <c r="Q30" s="205"/>
      <c r="R30" s="204"/>
      <c r="S30" s="204"/>
      <c r="T30" s="204"/>
      <c r="U30" s="189"/>
      <c r="V30" s="189"/>
      <c r="W30" s="189"/>
      <c r="X30" s="189"/>
      <c r="Y30" s="189"/>
      <c r="Z30" s="189"/>
      <c r="AA30" s="189"/>
      <c r="AB30" s="189"/>
      <c r="AC30" s="189"/>
    </row>
    <row r="31" ht="15.75" customHeight="1">
      <c r="A31" s="212"/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</row>
    <row r="32" ht="15.75" customHeight="1">
      <c r="A32" s="212"/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</row>
    <row r="33" ht="15.75" customHeight="1">
      <c r="A33" s="212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</row>
    <row r="34" ht="15.75" customHeight="1">
      <c r="A34" s="212"/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</row>
    <row r="35" ht="15.75" customHeight="1">
      <c r="A35" s="212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</row>
    <row r="36" ht="15.75" customHeight="1">
      <c r="A36" s="212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</row>
    <row r="37" ht="15.75" customHeight="1">
      <c r="A37" s="212"/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</row>
    <row r="38" ht="15.75" customHeight="1">
      <c r="A38" s="212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</row>
    <row r="39" ht="15.75" customHeight="1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</row>
    <row r="40" ht="15.75" customHeight="1">
      <c r="A40" s="212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</row>
    <row r="41" ht="15.75" customHeight="1">
      <c r="A41" s="212"/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</row>
    <row r="42" ht="15.75" customHeight="1">
      <c r="A42" s="212"/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</row>
    <row r="43" ht="15.75" customHeight="1">
      <c r="A43" s="212"/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</row>
    <row r="44" ht="15.75" customHeight="1">
      <c r="A44" s="212"/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</row>
    <row r="45" ht="15.75" customHeight="1">
      <c r="A45" s="212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</row>
    <row r="46" ht="15.75" customHeight="1">
      <c r="A46" s="212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</row>
    <row r="47" ht="15.75" customHeight="1">
      <c r="A47" s="212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</row>
    <row r="48" ht="15.75" customHeight="1">
      <c r="A48" s="212"/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</row>
    <row r="49" ht="15.75" customHeight="1">
      <c r="A49" s="212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</row>
    <row r="50" ht="15.75" customHeight="1">
      <c r="A50" s="21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</row>
    <row r="51" ht="15.75" customHeight="1">
      <c r="A51" s="212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</row>
    <row r="52" ht="15.75" customHeight="1">
      <c r="A52" s="212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</row>
    <row r="53" ht="15.75" customHeight="1">
      <c r="A53" s="212"/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</row>
    <row r="54" ht="15.75" customHeight="1">
      <c r="A54" s="212"/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</row>
    <row r="55" ht="15.75" customHeight="1">
      <c r="A55" s="212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</row>
    <row r="56" ht="15.75" customHeight="1">
      <c r="A56" s="212"/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</row>
    <row r="57" ht="15.75" customHeight="1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</row>
    <row r="58" ht="15.75" customHeight="1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</row>
    <row r="59" ht="15.75" customHeight="1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</row>
    <row r="60" ht="15.75" customHeight="1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</row>
    <row r="61" ht="15.75" customHeight="1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</row>
    <row r="62" ht="15.75" customHeight="1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</row>
    <row r="63" ht="15.75" customHeight="1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</row>
    <row r="64" ht="15.75" customHeight="1">
      <c r="A64" s="212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</row>
    <row r="65" ht="15.75" customHeight="1">
      <c r="A65" s="212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</row>
    <row r="66" ht="15.75" customHeight="1">
      <c r="A66" s="212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</row>
    <row r="67" ht="15.75" customHeight="1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</row>
    <row r="68" ht="15.75" customHeight="1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</row>
    <row r="69" ht="15.75" customHeight="1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</row>
    <row r="70" ht="15.75" customHeight="1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</row>
    <row r="71" ht="15.75" customHeight="1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</row>
    <row r="72" ht="15.75" customHeight="1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</row>
    <row r="73" ht="15.75" customHeight="1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</row>
    <row r="74" ht="15.75" customHeight="1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</row>
    <row r="75" ht="15.75" customHeight="1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</row>
    <row r="76" ht="15.75" customHeight="1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</row>
    <row r="77" ht="15.75" customHeight="1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</row>
    <row r="78" ht="15.75" customHeight="1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</row>
    <row r="79" ht="15.75" customHeight="1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</row>
    <row r="80" ht="15.75" customHeight="1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</row>
    <row r="81" ht="15.75" customHeight="1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</row>
    <row r="82" ht="15.75" customHeight="1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</row>
    <row r="83" ht="15.75" customHeight="1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</row>
    <row r="84" ht="15.75" customHeight="1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</row>
    <row r="85" ht="15.75" customHeight="1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</row>
    <row r="86" ht="15.75" customHeight="1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</row>
    <row r="87" ht="15.75" customHeight="1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</row>
    <row r="88" ht="15.75" customHeight="1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</row>
    <row r="89" ht="15.75" customHeight="1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</row>
    <row r="90" ht="15.75" customHeight="1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</row>
    <row r="91" ht="15.75" customHeight="1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</row>
    <row r="92" ht="15.75" customHeight="1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</row>
    <row r="93" ht="15.75" customHeight="1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</row>
    <row r="94" ht="15.75" customHeight="1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</row>
    <row r="95" ht="15.75" customHeight="1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</row>
    <row r="96" ht="15.75" customHeight="1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</row>
    <row r="97" ht="15.75" customHeight="1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</row>
    <row r="98" ht="15.75" customHeight="1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</row>
    <row r="99" ht="15.75" customHeight="1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</row>
    <row r="100" ht="15.75" customHeight="1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</row>
    <row r="101" ht="15.75" customHeight="1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</row>
    <row r="102" ht="15.75" customHeight="1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</row>
    <row r="103" ht="15.75" customHeight="1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</row>
    <row r="104" ht="15.75" customHeight="1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</row>
    <row r="105" ht="15.75" customHeight="1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</row>
    <row r="106" ht="15.75" customHeight="1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</row>
    <row r="107" ht="15.75" customHeight="1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</row>
    <row r="108" ht="15.75" customHeight="1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</row>
    <row r="109" ht="15.75" customHeight="1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</row>
    <row r="110" ht="15.75" customHeight="1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</row>
    <row r="111" ht="15.75" customHeight="1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</row>
    <row r="112" ht="15.75" customHeight="1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</row>
    <row r="113" ht="15.75" customHeight="1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</row>
    <row r="114" ht="15.75" customHeight="1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</row>
    <row r="115" ht="15.75" customHeight="1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</row>
    <row r="116" ht="15.75" customHeight="1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</row>
    <row r="117" ht="15.75" customHeight="1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</row>
    <row r="118" ht="15.75" customHeight="1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</row>
    <row r="119" ht="15.75" customHeight="1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</row>
    <row r="120" ht="15.75" customHeight="1">
      <c r="A120" s="212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</row>
    <row r="121" ht="15.75" customHeight="1">
      <c r="A121" s="212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</row>
    <row r="122" ht="15.75" customHeight="1">
      <c r="A122" s="212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</row>
    <row r="123" ht="15.75" customHeight="1">
      <c r="A123" s="212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</row>
    <row r="124" ht="15.75" customHeight="1">
      <c r="A124" s="212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</row>
    <row r="125" ht="15.75" customHeight="1">
      <c r="A125" s="212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</row>
    <row r="126" ht="15.75" customHeight="1">
      <c r="A126" s="212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</row>
    <row r="127" ht="15.75" customHeight="1">
      <c r="A127" s="212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</row>
    <row r="128" ht="15.75" customHeight="1">
      <c r="A128" s="212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</row>
    <row r="129" ht="15.75" customHeight="1">
      <c r="A129" s="212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</row>
    <row r="130" ht="15.75" customHeight="1">
      <c r="A130" s="212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</row>
    <row r="131" ht="15.75" customHeight="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</row>
    <row r="132" ht="15.75" customHeight="1">
      <c r="A132" s="212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</row>
    <row r="133" ht="15.75" customHeight="1">
      <c r="A133" s="212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</row>
    <row r="134" ht="15.75" customHeight="1">
      <c r="A134" s="212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</row>
    <row r="135" ht="15.75" customHeight="1">
      <c r="A135" s="212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</row>
    <row r="136" ht="15.75" customHeight="1">
      <c r="A136" s="212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</row>
    <row r="137" ht="15.75" customHeight="1">
      <c r="A137" s="212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</row>
    <row r="138" ht="15.75" customHeight="1">
      <c r="A138" s="212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</row>
    <row r="139" ht="15.75" customHeight="1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</row>
    <row r="140" ht="15.75" customHeight="1">
      <c r="A140" s="212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</row>
    <row r="141" ht="15.75" customHeight="1">
      <c r="A141" s="212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</row>
    <row r="142" ht="15.75" customHeight="1">
      <c r="A142" s="212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</row>
    <row r="143" ht="15.75" customHeight="1">
      <c r="A143" s="212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</row>
    <row r="144" ht="15.75" customHeight="1">
      <c r="A144" s="212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</row>
    <row r="145" ht="15.75" customHeight="1">
      <c r="A145" s="212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</row>
    <row r="146" ht="15.75" customHeight="1">
      <c r="A146" s="212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</row>
    <row r="147" ht="15.75" customHeight="1">
      <c r="A147" s="212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</row>
    <row r="148" ht="15.75" customHeight="1">
      <c r="A148" s="212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</row>
    <row r="149" ht="15.75" customHeight="1">
      <c r="A149" s="212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</row>
    <row r="150" ht="15.75" customHeight="1">
      <c r="A150" s="212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</row>
    <row r="151" ht="15.75" customHeight="1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</row>
    <row r="152" ht="15.75" customHeight="1">
      <c r="A152" s="212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</row>
    <row r="153" ht="15.75" customHeight="1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</row>
    <row r="154" ht="15.75" customHeight="1">
      <c r="A154" s="212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</row>
    <row r="155" ht="15.75" customHeight="1">
      <c r="A155" s="212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</row>
    <row r="156" ht="15.75" customHeight="1">
      <c r="A156" s="212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</row>
    <row r="157" ht="15.75" customHeight="1">
      <c r="A157" s="212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</row>
    <row r="158" ht="15.75" customHeight="1">
      <c r="A158" s="212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</row>
    <row r="159" ht="15.75" customHeight="1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</row>
    <row r="160" ht="15.75" customHeight="1">
      <c r="A160" s="212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</row>
    <row r="161" ht="15.75" customHeight="1">
      <c r="A161" s="212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</row>
    <row r="162" ht="15.75" customHeight="1">
      <c r="A162" s="212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</row>
    <row r="163" ht="15.75" customHeight="1">
      <c r="A163" s="212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</row>
    <row r="164" ht="15.75" customHeight="1">
      <c r="A164" s="212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</row>
    <row r="165" ht="15.75" customHeight="1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</row>
    <row r="166" ht="15.75" customHeight="1">
      <c r="A166" s="212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</row>
    <row r="167" ht="15.75" customHeight="1">
      <c r="A167" s="212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</row>
    <row r="168" ht="15.75" customHeight="1">
      <c r="A168" s="212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</row>
    <row r="169" ht="15.75" customHeight="1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</row>
    <row r="170" ht="15.75" customHeight="1">
      <c r="A170" s="212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</row>
    <row r="171" ht="15.75" customHeight="1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</row>
    <row r="172" ht="15.75" customHeight="1">
      <c r="A172" s="212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</row>
    <row r="173" ht="15.75" customHeight="1">
      <c r="A173" s="212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</row>
    <row r="174" ht="15.75" customHeight="1">
      <c r="A174" s="212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</row>
    <row r="175" ht="15.75" customHeight="1">
      <c r="A175" s="212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</row>
    <row r="176" ht="15.75" customHeight="1">
      <c r="A176" s="212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</row>
    <row r="177" ht="15.75" customHeight="1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</row>
    <row r="178" ht="15.75" customHeight="1">
      <c r="A178" s="212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</row>
    <row r="179" ht="15.75" customHeight="1">
      <c r="A179" s="212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</row>
    <row r="180" ht="15.75" customHeight="1">
      <c r="A180" s="212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</row>
    <row r="181" ht="15.75" customHeight="1">
      <c r="A181" s="212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</row>
    <row r="182" ht="15.75" customHeight="1">
      <c r="A182" s="212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</row>
    <row r="183" ht="15.75" customHeight="1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</row>
    <row r="184" ht="15.75" customHeight="1">
      <c r="A184" s="212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</row>
    <row r="185" ht="15.75" customHeight="1">
      <c r="A185" s="212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</row>
    <row r="186" ht="15.75" customHeight="1">
      <c r="A186" s="212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</row>
    <row r="187" ht="15.75" customHeight="1">
      <c r="A187" s="212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</row>
    <row r="188" ht="15.75" customHeight="1">
      <c r="A188" s="212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</row>
    <row r="189" ht="15.75" customHeight="1">
      <c r="A189" s="212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</row>
    <row r="190" ht="15.75" customHeight="1">
      <c r="A190" s="212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</row>
    <row r="191" ht="15.75" customHeight="1">
      <c r="A191" s="212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</row>
    <row r="192" ht="15.75" customHeight="1">
      <c r="A192" s="212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</row>
    <row r="193" ht="15.75" customHeight="1">
      <c r="A193" s="21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</row>
    <row r="194" ht="15.75" customHeight="1">
      <c r="A194" s="21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</row>
    <row r="195" ht="15.75" customHeight="1">
      <c r="A195" s="21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</row>
    <row r="196" ht="15.75" customHeight="1">
      <c r="A196" s="21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</row>
    <row r="197" ht="15.75" customHeight="1">
      <c r="A197" s="21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</row>
    <row r="198" ht="15.75" customHeight="1">
      <c r="A198" s="212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</row>
    <row r="199" ht="15.75" customHeight="1">
      <c r="A199" s="212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</row>
    <row r="200" ht="15.75" customHeight="1">
      <c r="A200" s="212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</row>
    <row r="201" ht="15.75" customHeight="1">
      <c r="A201" s="212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</row>
    <row r="202" ht="15.75" customHeight="1">
      <c r="A202" s="212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</row>
    <row r="203" ht="15.75" customHeight="1">
      <c r="A203" s="21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</row>
    <row r="204" ht="15.75" customHeight="1">
      <c r="A204" s="21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</row>
    <row r="205" ht="15.75" customHeight="1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</row>
    <row r="206" ht="15.75" customHeight="1">
      <c r="A206" s="212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</row>
    <row r="207" ht="15.75" customHeight="1">
      <c r="A207" s="212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</row>
    <row r="208" ht="15.75" customHeight="1">
      <c r="A208" s="212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</row>
    <row r="209" ht="15.75" customHeight="1">
      <c r="A209" s="212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</row>
    <row r="210" ht="15.75" customHeight="1">
      <c r="A210" s="212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</row>
    <row r="211" ht="15.75" customHeight="1">
      <c r="A211" s="212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</row>
    <row r="212" ht="15.75" customHeight="1">
      <c r="A212" s="212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</row>
    <row r="213" ht="15.75" customHeight="1">
      <c r="A213" s="212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</row>
    <row r="214" ht="15.75" customHeight="1">
      <c r="A214" s="212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</row>
    <row r="215" ht="15.75" customHeight="1">
      <c r="A215" s="212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</row>
    <row r="216" ht="15.75" customHeight="1">
      <c r="A216" s="212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</row>
    <row r="217" ht="15.75" customHeight="1">
      <c r="A217" s="212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</row>
    <row r="218" ht="15.75" customHeight="1">
      <c r="A218" s="212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</row>
    <row r="219" ht="15.75" customHeight="1">
      <c r="A219" s="212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</row>
    <row r="220" ht="15.75" customHeight="1">
      <c r="A220" s="212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</row>
    <row r="221" ht="15.75" customHeight="1">
      <c r="A221" s="212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</row>
    <row r="222" ht="15.75" customHeight="1">
      <c r="A222" s="212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</row>
    <row r="223" ht="15.75" customHeight="1">
      <c r="A223" s="212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</row>
    <row r="224" ht="15.75" customHeight="1">
      <c r="A224" s="212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</row>
    <row r="225" ht="15.75" customHeight="1">
      <c r="A225" s="212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</row>
    <row r="226" ht="15.75" customHeight="1">
      <c r="A226" s="212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</row>
    <row r="227" ht="15.75" customHeight="1">
      <c r="A227" s="212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</row>
    <row r="228" ht="15.75" customHeight="1">
      <c r="A228" s="212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</row>
    <row r="229" ht="15.75" customHeight="1">
      <c r="A229" s="212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</row>
    <row r="230" ht="15.75" customHeight="1">
      <c r="A230" s="212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</row>
    <row r="231" ht="15.75" customHeight="1">
      <c r="A231" s="212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</row>
    <row r="232" ht="15.75" customHeight="1">
      <c r="A232" s="212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</row>
    <row r="233" ht="15.75" customHeight="1">
      <c r="A233" s="212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</row>
    <row r="234" ht="15.75" customHeight="1">
      <c r="A234" s="21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</row>
    <row r="235" ht="15.75" customHeight="1">
      <c r="A235" s="212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</row>
    <row r="236" ht="15.75" customHeight="1">
      <c r="A236" s="212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</row>
    <row r="237" ht="15.75" customHeight="1">
      <c r="A237" s="212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</row>
    <row r="238" ht="15.75" customHeight="1">
      <c r="A238" s="212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</row>
    <row r="239" ht="15.75" customHeight="1">
      <c r="A239" s="212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</row>
    <row r="240" ht="15.75" customHeight="1">
      <c r="A240" s="212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</row>
    <row r="241" ht="15.75" customHeight="1">
      <c r="A241" s="212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</row>
    <row r="242" ht="15.75" customHeight="1">
      <c r="A242" s="212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</row>
    <row r="243" ht="15.75" customHeight="1">
      <c r="A243" s="212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</row>
    <row r="244" ht="15.75" customHeight="1">
      <c r="A244" s="212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</row>
    <row r="245" ht="15.75" customHeight="1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</row>
    <row r="246" ht="15.75" customHeight="1">
      <c r="A246" s="212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</row>
    <row r="247" ht="15.75" customHeight="1">
      <c r="A247" s="212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</row>
    <row r="248" ht="15.75" customHeight="1">
      <c r="A248" s="212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</row>
    <row r="249" ht="15.75" customHeight="1">
      <c r="A249" s="212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</row>
    <row r="250" ht="15.75" customHeight="1">
      <c r="A250" s="212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</row>
    <row r="251" ht="15.75" customHeight="1">
      <c r="A251" s="212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</row>
    <row r="252" ht="15.75" customHeight="1">
      <c r="A252" s="212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</row>
    <row r="253" ht="15.75" customHeight="1">
      <c r="A253" s="212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</row>
    <row r="254" ht="15.75" customHeight="1">
      <c r="A254" s="212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</row>
    <row r="255" ht="15.75" customHeight="1">
      <c r="A255" s="212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</row>
    <row r="256" ht="15.75" customHeight="1">
      <c r="A256" s="212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</row>
    <row r="257" ht="15.75" customHeight="1">
      <c r="A257" s="212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</row>
    <row r="258" ht="15.75" customHeight="1">
      <c r="A258" s="212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</row>
    <row r="259" ht="15.75" customHeight="1">
      <c r="A259" s="212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</row>
    <row r="260" ht="15.75" customHeight="1">
      <c r="A260" s="212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</row>
    <row r="261" ht="15.75" customHeight="1">
      <c r="A261" s="212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</row>
    <row r="262" ht="15.75" customHeight="1">
      <c r="A262" s="212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</row>
    <row r="263" ht="15.75" customHeight="1">
      <c r="A263" s="212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</row>
    <row r="264" ht="15.75" customHeight="1">
      <c r="A264" s="212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</row>
    <row r="265" ht="15.75" customHeight="1">
      <c r="A265" s="212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</row>
    <row r="266" ht="15.75" customHeight="1">
      <c r="A266" s="212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</row>
    <row r="267" ht="15.75" customHeight="1">
      <c r="A267" s="212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</row>
    <row r="268" ht="15.75" customHeight="1">
      <c r="A268" s="212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</row>
    <row r="269" ht="15.75" customHeight="1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</row>
    <row r="270" ht="15.75" customHeight="1">
      <c r="A270" s="212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</row>
    <row r="271" ht="15.75" customHeight="1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</row>
    <row r="272" ht="15.75" customHeight="1">
      <c r="A272" s="212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</row>
    <row r="273" ht="15.75" customHeight="1">
      <c r="A273" s="212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</row>
    <row r="274" ht="15.75" customHeight="1">
      <c r="A274" s="212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</row>
    <row r="275" ht="15.75" customHeight="1">
      <c r="A275" s="212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</row>
    <row r="276" ht="15.75" customHeight="1">
      <c r="A276" s="212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</row>
    <row r="277" ht="15.75" customHeight="1">
      <c r="A277" s="212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</row>
    <row r="278" ht="15.75" customHeight="1">
      <c r="A278" s="212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</row>
    <row r="279" ht="15.75" customHeight="1">
      <c r="A279" s="212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</row>
    <row r="280" ht="15.75" customHeight="1">
      <c r="A280" s="212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</row>
    <row r="281" ht="15.75" customHeight="1">
      <c r="A281" s="212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</row>
    <row r="282" ht="15.75" customHeight="1">
      <c r="A282" s="212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</row>
    <row r="283" ht="15.75" customHeight="1">
      <c r="A283" s="212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</row>
    <row r="284" ht="15.75" customHeight="1">
      <c r="A284" s="212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</row>
    <row r="285" ht="15.75" customHeight="1">
      <c r="A285" s="212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</row>
    <row r="286" ht="15.75" customHeight="1">
      <c r="A286" s="212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</row>
    <row r="287" ht="15.75" customHeight="1">
      <c r="A287" s="212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</row>
    <row r="288" ht="15.75" customHeight="1">
      <c r="A288" s="212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</row>
    <row r="289" ht="15.75" customHeight="1">
      <c r="A289" s="212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</row>
    <row r="290" ht="15.75" customHeight="1">
      <c r="A290" s="212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</row>
    <row r="291" ht="15.75" customHeight="1">
      <c r="A291" s="212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</row>
    <row r="292" ht="15.75" customHeight="1">
      <c r="A292" s="212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</row>
    <row r="293" ht="15.75" customHeight="1">
      <c r="A293" s="212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</row>
    <row r="294" ht="15.75" customHeight="1">
      <c r="A294" s="212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</row>
    <row r="295" ht="15.75" customHeight="1">
      <c r="A295" s="212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</row>
    <row r="296" ht="15.75" customHeight="1">
      <c r="A296" s="212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</row>
    <row r="297" ht="15.75" customHeight="1">
      <c r="A297" s="212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</row>
    <row r="298" ht="15.75" customHeight="1">
      <c r="A298" s="212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</row>
    <row r="299" ht="15.75" customHeight="1">
      <c r="A299" s="212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</row>
    <row r="300" ht="15.75" customHeight="1">
      <c r="A300" s="212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</row>
    <row r="301" ht="15.75" customHeight="1">
      <c r="A301" s="212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</row>
    <row r="302" ht="15.75" customHeight="1">
      <c r="A302" s="212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</row>
    <row r="303" ht="15.75" customHeight="1">
      <c r="A303" s="212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</row>
    <row r="304" ht="15.75" customHeight="1">
      <c r="A304" s="212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</row>
    <row r="305" ht="15.75" customHeight="1">
      <c r="A305" s="212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</row>
    <row r="306" ht="15.75" customHeight="1">
      <c r="A306" s="212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</row>
    <row r="307" ht="15.75" customHeight="1">
      <c r="A307" s="212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</row>
    <row r="308" ht="15.75" customHeight="1">
      <c r="A308" s="212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</row>
    <row r="309" ht="15.75" customHeight="1">
      <c r="A309" s="212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</row>
    <row r="310" ht="15.75" customHeight="1">
      <c r="A310" s="212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</row>
    <row r="311" ht="15.75" customHeight="1">
      <c r="A311" s="212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</row>
    <row r="312" ht="15.75" customHeight="1">
      <c r="A312" s="212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</row>
    <row r="313" ht="15.75" customHeight="1">
      <c r="A313" s="212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</row>
    <row r="314" ht="15.75" customHeight="1">
      <c r="A314" s="212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</row>
    <row r="315" ht="15.75" customHeight="1">
      <c r="A315" s="212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</row>
    <row r="316" ht="15.75" customHeight="1">
      <c r="A316" s="212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</row>
    <row r="317" ht="15.75" customHeight="1">
      <c r="A317" s="212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</row>
    <row r="318" ht="15.75" customHeight="1">
      <c r="A318" s="212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</row>
    <row r="319" ht="15.75" customHeight="1">
      <c r="A319" s="212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</row>
    <row r="320" ht="15.75" customHeight="1">
      <c r="A320" s="212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</row>
    <row r="321" ht="15.75" customHeight="1">
      <c r="A321" s="212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</row>
    <row r="322" ht="15.75" customHeight="1">
      <c r="A322" s="212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</row>
    <row r="323" ht="15.75" customHeight="1">
      <c r="A323" s="212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</row>
    <row r="324" ht="15.75" customHeight="1">
      <c r="A324" s="212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</row>
    <row r="325" ht="15.75" customHeight="1">
      <c r="A325" s="212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</row>
    <row r="326" ht="15.75" customHeight="1">
      <c r="A326" s="212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</row>
    <row r="327" ht="15.75" customHeight="1">
      <c r="A327" s="212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</row>
    <row r="328" ht="15.75" customHeight="1">
      <c r="A328" s="212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</row>
    <row r="329" ht="15.75" customHeight="1">
      <c r="A329" s="212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</row>
    <row r="330" ht="15.75" customHeight="1">
      <c r="A330" s="212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</row>
    <row r="331" ht="15.75" customHeight="1">
      <c r="A331" s="212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</row>
    <row r="332" ht="15.75" customHeight="1">
      <c r="A332" s="212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</row>
    <row r="333" ht="15.75" customHeight="1">
      <c r="A333" s="212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</row>
    <row r="334" ht="15.75" customHeight="1">
      <c r="A334" s="212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</row>
    <row r="335" ht="15.75" customHeight="1">
      <c r="A335" s="212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</row>
    <row r="336" ht="15.75" customHeight="1">
      <c r="A336" s="212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</row>
    <row r="337" ht="15.75" customHeight="1">
      <c r="A337" s="212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</row>
    <row r="338" ht="15.75" customHeight="1">
      <c r="A338" s="212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</row>
    <row r="339" ht="15.75" customHeight="1">
      <c r="A339" s="212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</row>
    <row r="340" ht="15.75" customHeight="1">
      <c r="A340" s="212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</row>
    <row r="341" ht="15.75" customHeight="1">
      <c r="A341" s="212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</row>
    <row r="342" ht="15.75" customHeight="1">
      <c r="A342" s="212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</row>
    <row r="343" ht="15.75" customHeight="1">
      <c r="A343" s="212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</row>
    <row r="344" ht="15.75" customHeight="1">
      <c r="A344" s="212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</row>
    <row r="345" ht="15.75" customHeight="1">
      <c r="A345" s="212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</row>
    <row r="346" ht="15.75" customHeight="1">
      <c r="A346" s="212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</row>
    <row r="347" ht="15.75" customHeight="1">
      <c r="A347" s="212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</row>
    <row r="348" ht="15.75" customHeight="1">
      <c r="A348" s="212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</row>
    <row r="349" ht="15.75" customHeight="1">
      <c r="A349" s="212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</row>
    <row r="350" ht="15.75" customHeight="1">
      <c r="A350" s="212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</row>
    <row r="351" ht="15.75" customHeight="1">
      <c r="A351" s="212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</row>
    <row r="352" ht="15.75" customHeight="1">
      <c r="A352" s="212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</row>
    <row r="353" ht="15.75" customHeight="1">
      <c r="A353" s="212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</row>
    <row r="354" ht="15.75" customHeight="1">
      <c r="A354" s="212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</row>
    <row r="355" ht="15.75" customHeight="1">
      <c r="A355" s="212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</row>
    <row r="356" ht="15.75" customHeight="1">
      <c r="A356" s="212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</row>
    <row r="357" ht="15.75" customHeight="1">
      <c r="A357" s="212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</row>
    <row r="358" ht="15.75" customHeight="1">
      <c r="A358" s="212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</row>
    <row r="359" ht="15.75" customHeight="1">
      <c r="A359" s="212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</row>
    <row r="360" ht="15.75" customHeight="1">
      <c r="A360" s="212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</row>
    <row r="361" ht="15.75" customHeight="1">
      <c r="A361" s="212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</row>
    <row r="362" ht="15.75" customHeight="1">
      <c r="A362" s="212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</row>
    <row r="363" ht="15.75" customHeight="1">
      <c r="A363" s="212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</row>
    <row r="364" ht="15.75" customHeight="1">
      <c r="A364" s="212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</row>
    <row r="365" ht="15.75" customHeight="1">
      <c r="A365" s="212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</row>
    <row r="366" ht="15.75" customHeight="1">
      <c r="A366" s="212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</row>
    <row r="367" ht="15.75" customHeight="1">
      <c r="A367" s="212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</row>
    <row r="368" ht="15.75" customHeight="1">
      <c r="A368" s="212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</row>
    <row r="369" ht="15.75" customHeight="1">
      <c r="A369" s="212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</row>
    <row r="370" ht="15.75" customHeight="1">
      <c r="A370" s="212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</row>
    <row r="371" ht="15.75" customHeight="1">
      <c r="A371" s="212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</row>
    <row r="372" ht="15.75" customHeight="1">
      <c r="A372" s="212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</row>
    <row r="373" ht="15.75" customHeight="1">
      <c r="A373" s="212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</row>
    <row r="374" ht="15.75" customHeight="1">
      <c r="A374" s="212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</row>
    <row r="375" ht="15.75" customHeight="1">
      <c r="A375" s="212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</row>
    <row r="376" ht="15.75" customHeight="1">
      <c r="A376" s="212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</row>
    <row r="377" ht="15.75" customHeight="1">
      <c r="A377" s="212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</row>
    <row r="378" ht="15.75" customHeight="1">
      <c r="A378" s="212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</row>
    <row r="379" ht="15.75" customHeight="1">
      <c r="A379" s="212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</row>
    <row r="380" ht="15.75" customHeight="1">
      <c r="A380" s="212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</row>
    <row r="381" ht="15.75" customHeight="1">
      <c r="A381" s="212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</row>
    <row r="382" ht="15.75" customHeight="1">
      <c r="A382" s="212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</row>
    <row r="383" ht="15.75" customHeight="1">
      <c r="A383" s="212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</row>
    <row r="384" ht="15.75" customHeight="1">
      <c r="A384" s="212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</row>
    <row r="385" ht="15.75" customHeight="1">
      <c r="A385" s="212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</row>
    <row r="386" ht="15.75" customHeight="1">
      <c r="A386" s="212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</row>
    <row r="387" ht="15.75" customHeight="1">
      <c r="A387" s="212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</row>
    <row r="388" ht="15.75" customHeight="1">
      <c r="A388" s="212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</row>
    <row r="389" ht="15.75" customHeight="1">
      <c r="A389" s="212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</row>
    <row r="390" ht="15.75" customHeight="1">
      <c r="A390" s="212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</row>
    <row r="391" ht="15.75" customHeight="1">
      <c r="A391" s="21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</row>
    <row r="392" ht="15.75" customHeight="1">
      <c r="A392" s="212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</row>
    <row r="393" ht="15.75" customHeight="1">
      <c r="A393" s="212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</row>
    <row r="394" ht="15.75" customHeight="1">
      <c r="A394" s="212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</row>
    <row r="395" ht="15.75" customHeight="1">
      <c r="A395" s="212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</row>
    <row r="396" ht="15.75" customHeight="1">
      <c r="A396" s="212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</row>
    <row r="397" ht="15.75" customHeight="1">
      <c r="A397" s="212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</row>
    <row r="398" ht="15.75" customHeight="1">
      <c r="A398" s="212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</row>
    <row r="399" ht="15.75" customHeight="1">
      <c r="A399" s="212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</row>
    <row r="400" ht="15.75" customHeight="1">
      <c r="A400" s="212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</row>
    <row r="401" ht="15.75" customHeight="1">
      <c r="A401" s="212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</row>
    <row r="402" ht="15.75" customHeight="1">
      <c r="A402" s="212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</row>
    <row r="403" ht="15.75" customHeight="1">
      <c r="A403" s="212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</row>
    <row r="404" ht="15.75" customHeight="1">
      <c r="A404" s="212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</row>
    <row r="405" ht="15.75" customHeight="1">
      <c r="A405" s="212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</row>
    <row r="406" ht="15.75" customHeight="1">
      <c r="A406" s="212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</row>
    <row r="407" ht="15.75" customHeight="1">
      <c r="A407" s="212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</row>
    <row r="408" ht="15.75" customHeight="1">
      <c r="A408" s="212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</row>
    <row r="409" ht="15.75" customHeight="1">
      <c r="A409" s="212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</row>
    <row r="410" ht="15.75" customHeight="1">
      <c r="A410" s="212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</row>
    <row r="411" ht="15.75" customHeight="1">
      <c r="A411" s="212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</row>
    <row r="412" ht="15.75" customHeight="1">
      <c r="A412" s="212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</row>
    <row r="413" ht="15.75" customHeight="1">
      <c r="A413" s="212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</row>
    <row r="414" ht="15.75" customHeight="1">
      <c r="A414" s="212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</row>
    <row r="415" ht="15.75" customHeight="1">
      <c r="A415" s="212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</row>
    <row r="416" ht="15.75" customHeight="1">
      <c r="A416" s="212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</row>
    <row r="417" ht="15.75" customHeight="1">
      <c r="A417" s="212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</row>
    <row r="418" ht="15.75" customHeight="1">
      <c r="A418" s="212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</row>
    <row r="419" ht="15.75" customHeight="1">
      <c r="A419" s="212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</row>
    <row r="420" ht="15.75" customHeight="1">
      <c r="A420" s="212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</row>
    <row r="421" ht="15.75" customHeight="1">
      <c r="A421" s="212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</row>
    <row r="422" ht="15.75" customHeight="1">
      <c r="A422" s="212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</row>
    <row r="423" ht="15.75" customHeight="1">
      <c r="A423" s="212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</row>
    <row r="424" ht="15.75" customHeight="1">
      <c r="A424" s="212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</row>
    <row r="425" ht="15.75" customHeight="1">
      <c r="A425" s="212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</row>
    <row r="426" ht="15.75" customHeight="1">
      <c r="A426" s="212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</row>
    <row r="427" ht="15.75" customHeight="1">
      <c r="A427" s="212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</row>
    <row r="428" ht="15.75" customHeight="1">
      <c r="A428" s="212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</row>
    <row r="429" ht="15.75" customHeight="1">
      <c r="A429" s="212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</row>
    <row r="430" ht="15.75" customHeight="1">
      <c r="A430" s="212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</row>
    <row r="431" ht="15.75" customHeight="1">
      <c r="A431" s="212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</row>
    <row r="432" ht="15.75" customHeight="1">
      <c r="A432" s="212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</row>
    <row r="433" ht="15.75" customHeight="1">
      <c r="A433" s="212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</row>
    <row r="434" ht="15.75" customHeight="1">
      <c r="A434" s="212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</row>
    <row r="435" ht="15.75" customHeight="1">
      <c r="A435" s="212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</row>
    <row r="436" ht="15.75" customHeight="1">
      <c r="A436" s="212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</row>
    <row r="437" ht="15.75" customHeight="1">
      <c r="A437" s="212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</row>
    <row r="438" ht="15.75" customHeight="1">
      <c r="A438" s="212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</row>
    <row r="439" ht="15.75" customHeight="1">
      <c r="A439" s="212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</row>
    <row r="440" ht="15.75" customHeight="1">
      <c r="A440" s="212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</row>
    <row r="441" ht="15.75" customHeight="1">
      <c r="A441" s="212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</row>
    <row r="442" ht="15.75" customHeight="1">
      <c r="A442" s="212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</row>
    <row r="443" ht="15.75" customHeight="1">
      <c r="A443" s="212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</row>
    <row r="444" ht="15.75" customHeight="1">
      <c r="A444" s="212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</row>
    <row r="445" ht="15.75" customHeight="1">
      <c r="A445" s="212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</row>
    <row r="446" ht="15.75" customHeight="1">
      <c r="A446" s="212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</row>
    <row r="447" ht="15.75" customHeight="1">
      <c r="A447" s="212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</row>
    <row r="448" ht="15.75" customHeight="1">
      <c r="A448" s="212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</row>
    <row r="449" ht="15.75" customHeight="1">
      <c r="A449" s="212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</row>
    <row r="450" ht="15.75" customHeight="1">
      <c r="A450" s="212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</row>
    <row r="451" ht="15.75" customHeight="1">
      <c r="A451" s="212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</row>
    <row r="452" ht="15.75" customHeight="1">
      <c r="A452" s="212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</row>
    <row r="453" ht="15.75" customHeight="1">
      <c r="A453" s="212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</row>
    <row r="454" ht="15.75" customHeight="1">
      <c r="A454" s="212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</row>
    <row r="455" ht="15.75" customHeight="1">
      <c r="A455" s="21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</row>
    <row r="456" ht="15.75" customHeight="1">
      <c r="A456" s="212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</row>
    <row r="457" ht="15.75" customHeight="1">
      <c r="A457" s="212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</row>
    <row r="458" ht="15.75" customHeight="1">
      <c r="A458" s="212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</row>
    <row r="459" ht="15.75" customHeight="1">
      <c r="A459" s="212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</row>
    <row r="460" ht="15.75" customHeight="1">
      <c r="A460" s="212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</row>
    <row r="461" ht="15.75" customHeight="1">
      <c r="A461" s="212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</row>
    <row r="462" ht="15.75" customHeight="1">
      <c r="A462" s="212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</row>
    <row r="463" ht="15.75" customHeight="1">
      <c r="A463" s="212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</row>
    <row r="464" ht="15.75" customHeight="1">
      <c r="A464" s="212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</row>
    <row r="465" ht="15.75" customHeight="1">
      <c r="A465" s="212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</row>
    <row r="466" ht="15.75" customHeight="1">
      <c r="A466" s="212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</row>
    <row r="467" ht="15.75" customHeight="1">
      <c r="A467" s="212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</row>
    <row r="468" ht="15.75" customHeight="1">
      <c r="A468" s="212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</row>
    <row r="469" ht="15.75" customHeight="1">
      <c r="A469" s="212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</row>
    <row r="470" ht="15.75" customHeight="1">
      <c r="A470" s="212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</row>
    <row r="471" ht="15.75" customHeight="1">
      <c r="A471" s="212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</row>
    <row r="472" ht="15.75" customHeight="1">
      <c r="A472" s="212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</row>
    <row r="473" ht="15.75" customHeight="1">
      <c r="A473" s="212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</row>
    <row r="474" ht="15.75" customHeight="1">
      <c r="A474" s="212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</row>
    <row r="475" ht="15.75" customHeight="1">
      <c r="A475" s="212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</row>
    <row r="476" ht="15.75" customHeight="1">
      <c r="A476" s="212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</row>
    <row r="477" ht="15.75" customHeight="1">
      <c r="A477" s="212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</row>
    <row r="478" ht="15.75" customHeight="1">
      <c r="A478" s="212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</row>
    <row r="479" ht="15.75" customHeight="1">
      <c r="A479" s="212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</row>
    <row r="480" ht="15.75" customHeight="1">
      <c r="A480" s="212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</row>
    <row r="481" ht="15.75" customHeight="1">
      <c r="A481" s="212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</row>
    <row r="482" ht="15.75" customHeight="1">
      <c r="A482" s="212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</row>
    <row r="483" ht="15.75" customHeight="1">
      <c r="A483" s="212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</row>
    <row r="484" ht="15.75" customHeight="1">
      <c r="A484" s="212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</row>
    <row r="485" ht="15.75" customHeight="1">
      <c r="A485" s="212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</row>
    <row r="486" ht="15.75" customHeight="1">
      <c r="A486" s="212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</row>
    <row r="487" ht="15.75" customHeight="1">
      <c r="A487" s="212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</row>
    <row r="488" ht="15.75" customHeight="1">
      <c r="A488" s="212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</row>
    <row r="489" ht="15.75" customHeight="1">
      <c r="A489" s="212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</row>
    <row r="490" ht="15.75" customHeight="1">
      <c r="A490" s="212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</row>
    <row r="491" ht="15.75" customHeight="1">
      <c r="A491" s="212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</row>
    <row r="492" ht="15.75" customHeight="1">
      <c r="A492" s="212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</row>
    <row r="493" ht="15.75" customHeight="1">
      <c r="A493" s="212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</row>
    <row r="494" ht="15.75" customHeight="1">
      <c r="A494" s="212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</row>
    <row r="495" ht="15.75" customHeight="1">
      <c r="A495" s="212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</row>
    <row r="496" ht="15.75" customHeight="1">
      <c r="A496" s="212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</row>
    <row r="497" ht="15.75" customHeight="1">
      <c r="A497" s="212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</row>
    <row r="498" ht="15.75" customHeight="1">
      <c r="A498" s="212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</row>
    <row r="499" ht="15.75" customHeight="1">
      <c r="A499" s="212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</row>
    <row r="500" ht="15.75" customHeight="1">
      <c r="A500" s="212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</row>
    <row r="501" ht="15.75" customHeight="1">
      <c r="A501" s="212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</row>
    <row r="502" ht="15.75" customHeight="1">
      <c r="A502" s="212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</row>
    <row r="503" ht="15.75" customHeight="1">
      <c r="A503" s="212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</row>
    <row r="504" ht="15.75" customHeight="1">
      <c r="A504" s="212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</row>
    <row r="505" ht="15.75" customHeight="1">
      <c r="A505" s="212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</row>
    <row r="506" ht="15.75" customHeight="1">
      <c r="A506" s="212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</row>
    <row r="507" ht="15.75" customHeight="1">
      <c r="A507" s="212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</row>
    <row r="508" ht="15.75" customHeight="1">
      <c r="A508" s="212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</row>
    <row r="509" ht="15.75" customHeight="1">
      <c r="A509" s="212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</row>
    <row r="510" ht="15.75" customHeight="1">
      <c r="A510" s="212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</row>
    <row r="511" ht="15.75" customHeight="1">
      <c r="A511" s="212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</row>
    <row r="512" ht="15.75" customHeight="1">
      <c r="A512" s="212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</row>
    <row r="513" ht="15.75" customHeight="1">
      <c r="A513" s="212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</row>
    <row r="514" ht="15.75" customHeight="1">
      <c r="A514" s="212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</row>
    <row r="515" ht="15.75" customHeight="1">
      <c r="A515" s="212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</row>
    <row r="516" ht="15.75" customHeight="1">
      <c r="A516" s="212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</row>
    <row r="517" ht="15.75" customHeight="1">
      <c r="A517" s="212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</row>
    <row r="518" ht="15.75" customHeight="1">
      <c r="A518" s="212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</row>
    <row r="519" ht="15.75" customHeight="1">
      <c r="A519" s="212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</row>
    <row r="520" ht="15.75" customHeight="1">
      <c r="A520" s="212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</row>
    <row r="521" ht="15.75" customHeight="1">
      <c r="A521" s="212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</row>
    <row r="522" ht="15.75" customHeight="1">
      <c r="A522" s="212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</row>
    <row r="523" ht="15.75" customHeight="1">
      <c r="A523" s="212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</row>
    <row r="524" ht="15.75" customHeight="1">
      <c r="A524" s="212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</row>
    <row r="525" ht="15.75" customHeight="1">
      <c r="A525" s="212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</row>
    <row r="526" ht="15.75" customHeight="1">
      <c r="A526" s="212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</row>
    <row r="527" ht="15.75" customHeight="1">
      <c r="A527" s="212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</row>
    <row r="528" ht="15.75" customHeight="1">
      <c r="A528" s="212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</row>
    <row r="529" ht="15.75" customHeight="1">
      <c r="A529" s="212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</row>
    <row r="530" ht="15.75" customHeight="1">
      <c r="A530" s="212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</row>
    <row r="531" ht="15.75" customHeight="1">
      <c r="A531" s="212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</row>
    <row r="532" ht="15.75" customHeight="1">
      <c r="A532" s="212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</row>
    <row r="533" ht="15.75" customHeight="1">
      <c r="A533" s="212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</row>
    <row r="534" ht="15.75" customHeight="1">
      <c r="A534" s="212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</row>
    <row r="535" ht="15.75" customHeight="1">
      <c r="A535" s="212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</row>
    <row r="536" ht="15.75" customHeight="1">
      <c r="A536" s="212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</row>
    <row r="537" ht="15.75" customHeight="1">
      <c r="A537" s="212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</row>
    <row r="538" ht="15.75" customHeight="1">
      <c r="A538" s="212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</row>
    <row r="539" ht="15.75" customHeight="1">
      <c r="A539" s="212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</row>
    <row r="540" ht="15.75" customHeight="1">
      <c r="A540" s="212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</row>
    <row r="541" ht="15.75" customHeight="1">
      <c r="A541" s="212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</row>
    <row r="542" ht="15.75" customHeight="1">
      <c r="A542" s="212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</row>
    <row r="543" ht="15.75" customHeight="1">
      <c r="A543" s="212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</row>
    <row r="544" ht="15.75" customHeight="1">
      <c r="A544" s="212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</row>
    <row r="545" ht="15.75" customHeight="1">
      <c r="A545" s="212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</row>
    <row r="546" ht="15.75" customHeight="1">
      <c r="A546" s="212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</row>
    <row r="547" ht="15.75" customHeight="1">
      <c r="A547" s="212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</row>
    <row r="548" ht="15.75" customHeight="1">
      <c r="A548" s="212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</row>
    <row r="549" ht="15.75" customHeight="1">
      <c r="A549" s="212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</row>
    <row r="550" ht="15.75" customHeight="1">
      <c r="A550" s="212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</row>
    <row r="551" ht="15.75" customHeight="1">
      <c r="A551" s="212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</row>
    <row r="552" ht="15.75" customHeight="1">
      <c r="A552" s="212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</row>
    <row r="553" ht="15.75" customHeight="1">
      <c r="A553" s="212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</row>
    <row r="554" ht="15.75" customHeight="1">
      <c r="A554" s="212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</row>
    <row r="555" ht="15.75" customHeight="1">
      <c r="A555" s="212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</row>
    <row r="556" ht="15.75" customHeight="1">
      <c r="A556" s="212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</row>
    <row r="557" ht="15.75" customHeight="1">
      <c r="A557" s="212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</row>
    <row r="558" ht="15.75" customHeight="1">
      <c r="A558" s="212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</row>
    <row r="559" ht="15.75" customHeight="1">
      <c r="A559" s="212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</row>
    <row r="560" ht="15.75" customHeight="1">
      <c r="A560" s="212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</row>
    <row r="561" ht="15.75" customHeight="1">
      <c r="A561" s="212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</row>
    <row r="562" ht="15.75" customHeight="1">
      <c r="A562" s="212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</row>
    <row r="563" ht="15.75" customHeight="1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</row>
    <row r="564" ht="15.75" customHeight="1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</row>
    <row r="565" ht="15.75" customHeight="1">
      <c r="A565" s="212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</row>
    <row r="566" ht="15.75" customHeight="1">
      <c r="A566" s="212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</row>
    <row r="567" ht="15.75" customHeight="1">
      <c r="A567" s="212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</row>
    <row r="568" ht="15.75" customHeight="1">
      <c r="A568" s="212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</row>
    <row r="569" ht="15.75" customHeight="1">
      <c r="A569" s="212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</row>
    <row r="570" ht="15.75" customHeight="1">
      <c r="A570" s="212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</row>
    <row r="571" ht="15.75" customHeight="1">
      <c r="A571" s="212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</row>
    <row r="572" ht="15.75" customHeight="1">
      <c r="A572" s="212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</row>
    <row r="573" ht="15.75" customHeight="1">
      <c r="A573" s="212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</row>
    <row r="574" ht="15.75" customHeight="1">
      <c r="A574" s="212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</row>
    <row r="575" ht="15.75" customHeight="1">
      <c r="A575" s="212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</row>
    <row r="576" ht="15.75" customHeight="1">
      <c r="A576" s="212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</row>
    <row r="577" ht="15.75" customHeight="1">
      <c r="A577" s="212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</row>
    <row r="578" ht="15.75" customHeight="1">
      <c r="A578" s="212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</row>
    <row r="579" ht="15.75" customHeight="1">
      <c r="A579" s="212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</row>
    <row r="580" ht="15.75" customHeight="1">
      <c r="A580" s="212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</row>
    <row r="581" ht="15.75" customHeight="1">
      <c r="A581" s="212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</row>
    <row r="582" ht="15.75" customHeight="1">
      <c r="A582" s="212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</row>
    <row r="583" ht="15.75" customHeight="1">
      <c r="A583" s="212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</row>
    <row r="584" ht="15.75" customHeight="1">
      <c r="A584" s="212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</row>
    <row r="585" ht="15.75" customHeight="1">
      <c r="A585" s="212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</row>
    <row r="586" ht="15.75" customHeight="1">
      <c r="A586" s="212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</row>
    <row r="587" ht="15.75" customHeight="1">
      <c r="A587" s="212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</row>
    <row r="588" ht="15.75" customHeight="1">
      <c r="A588" s="212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</row>
    <row r="589" ht="15.75" customHeight="1">
      <c r="A589" s="212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</row>
    <row r="590" ht="15.75" customHeight="1">
      <c r="A590" s="212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</row>
    <row r="591" ht="15.75" customHeight="1">
      <c r="A591" s="212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</row>
    <row r="592" ht="15.75" customHeight="1">
      <c r="A592" s="212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</row>
    <row r="593" ht="15.75" customHeight="1">
      <c r="A593" s="212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</row>
    <row r="594" ht="15.75" customHeight="1">
      <c r="A594" s="212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</row>
    <row r="595" ht="15.75" customHeight="1">
      <c r="A595" s="212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</row>
    <row r="596" ht="15.75" customHeight="1">
      <c r="A596" s="212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</row>
    <row r="597" ht="15.75" customHeight="1">
      <c r="A597" s="212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</row>
    <row r="598" ht="15.75" customHeight="1">
      <c r="A598" s="212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</row>
    <row r="599" ht="15.75" customHeight="1">
      <c r="A599" s="212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</row>
    <row r="600" ht="15.75" customHeight="1">
      <c r="A600" s="212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</row>
    <row r="601" ht="15.75" customHeight="1">
      <c r="A601" s="212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</row>
    <row r="602" ht="15.75" customHeight="1">
      <c r="A602" s="212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</row>
    <row r="603" ht="15.75" customHeight="1">
      <c r="A603" s="212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</row>
    <row r="604" ht="15.75" customHeight="1">
      <c r="A604" s="212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</row>
    <row r="605" ht="15.75" customHeight="1">
      <c r="A605" s="212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</row>
    <row r="606" ht="15.75" customHeight="1">
      <c r="A606" s="212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</row>
    <row r="607" ht="15.75" customHeight="1">
      <c r="A607" s="212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</row>
    <row r="608" ht="15.75" customHeight="1">
      <c r="A608" s="212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</row>
    <row r="609" ht="15.75" customHeight="1">
      <c r="A609" s="212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</row>
    <row r="610" ht="15.75" customHeight="1">
      <c r="A610" s="212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</row>
    <row r="611" ht="15.75" customHeight="1">
      <c r="A611" s="212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</row>
    <row r="612" ht="15.75" customHeight="1">
      <c r="A612" s="212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</row>
    <row r="613" ht="15.75" customHeight="1">
      <c r="A613" s="212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</row>
    <row r="614" ht="15.75" customHeight="1">
      <c r="A614" s="212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</row>
    <row r="615" ht="15.75" customHeight="1">
      <c r="A615" s="212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</row>
    <row r="616" ht="15.75" customHeight="1">
      <c r="A616" s="212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</row>
    <row r="617" ht="15.75" customHeight="1">
      <c r="A617" s="212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</row>
    <row r="618" ht="15.75" customHeight="1">
      <c r="A618" s="212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</row>
    <row r="619" ht="15.75" customHeight="1">
      <c r="A619" s="212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</row>
    <row r="620" ht="15.75" customHeight="1">
      <c r="A620" s="212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</row>
    <row r="621" ht="15.75" customHeight="1">
      <c r="A621" s="212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</row>
    <row r="622" ht="15.75" customHeight="1">
      <c r="A622" s="212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</row>
    <row r="623" ht="15.75" customHeight="1">
      <c r="A623" s="212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</row>
    <row r="624" ht="15.75" customHeight="1">
      <c r="A624" s="212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</row>
    <row r="625" ht="15.75" customHeight="1">
      <c r="A625" s="212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</row>
    <row r="626" ht="15.75" customHeight="1">
      <c r="A626" s="212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</row>
    <row r="627" ht="15.75" customHeight="1">
      <c r="A627" s="212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</row>
    <row r="628" ht="15.75" customHeight="1">
      <c r="A628" s="212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</row>
    <row r="629" ht="15.75" customHeight="1">
      <c r="A629" s="212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</row>
    <row r="630" ht="15.75" customHeight="1">
      <c r="A630" s="212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</row>
    <row r="631" ht="15.75" customHeight="1">
      <c r="A631" s="212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</row>
    <row r="632" ht="15.75" customHeight="1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</row>
    <row r="633" ht="15.75" customHeight="1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</row>
    <row r="634" ht="15.75" customHeight="1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</row>
    <row r="635" ht="15.75" customHeight="1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</row>
    <row r="636" ht="15.75" customHeight="1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</row>
    <row r="637" ht="15.75" customHeight="1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</row>
    <row r="638" ht="15.75" customHeight="1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</row>
    <row r="639" ht="15.75" customHeight="1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</row>
    <row r="640" ht="15.75" customHeight="1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</row>
    <row r="641" ht="15.75" customHeight="1">
      <c r="A641" s="212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</row>
    <row r="642" ht="15.75" customHeight="1">
      <c r="A642" s="212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</row>
    <row r="643" ht="15.75" customHeight="1">
      <c r="A643" s="212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</row>
    <row r="644" ht="15.75" customHeight="1">
      <c r="A644" s="212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</row>
    <row r="645" ht="15.75" customHeight="1">
      <c r="A645" s="212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</row>
    <row r="646" ht="15.75" customHeight="1">
      <c r="A646" s="212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</row>
    <row r="647" ht="15.75" customHeight="1">
      <c r="A647" s="212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</row>
    <row r="648" ht="15.75" customHeight="1">
      <c r="A648" s="212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</row>
    <row r="649" ht="15.75" customHeight="1">
      <c r="A649" s="212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</row>
    <row r="650" ht="15.75" customHeight="1">
      <c r="A650" s="212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</row>
    <row r="651" ht="15.75" customHeight="1">
      <c r="A651" s="212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</row>
    <row r="652" ht="15.75" customHeight="1">
      <c r="A652" s="212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</row>
    <row r="653" ht="15.75" customHeight="1">
      <c r="A653" s="212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</row>
    <row r="654" ht="15.75" customHeight="1">
      <c r="A654" s="212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</row>
    <row r="655" ht="15.75" customHeight="1">
      <c r="A655" s="212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</row>
    <row r="656" ht="15.75" customHeight="1">
      <c r="A656" s="212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</row>
    <row r="657" ht="15.75" customHeight="1">
      <c r="A657" s="212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</row>
    <row r="658" ht="15.75" customHeight="1">
      <c r="A658" s="212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</row>
    <row r="659" ht="15.75" customHeight="1">
      <c r="A659" s="212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</row>
    <row r="660" ht="15.75" customHeight="1">
      <c r="A660" s="212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</row>
    <row r="661" ht="15.75" customHeight="1">
      <c r="A661" s="212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</row>
    <row r="662" ht="15.75" customHeight="1">
      <c r="A662" s="212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</row>
    <row r="663" ht="15.75" customHeight="1">
      <c r="A663" s="212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</row>
    <row r="664" ht="15.75" customHeight="1">
      <c r="A664" s="212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</row>
    <row r="665" ht="15.75" customHeight="1">
      <c r="A665" s="212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</row>
    <row r="666" ht="15.75" customHeight="1">
      <c r="A666" s="212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</row>
    <row r="667" ht="15.75" customHeight="1">
      <c r="A667" s="212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</row>
    <row r="668" ht="15.75" customHeight="1">
      <c r="A668" s="212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</row>
    <row r="669" ht="15.75" customHeight="1">
      <c r="A669" s="212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</row>
    <row r="670" ht="15.75" customHeight="1">
      <c r="A670" s="212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</row>
    <row r="671" ht="15.75" customHeight="1">
      <c r="A671" s="212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</row>
    <row r="672" ht="15.75" customHeight="1">
      <c r="A672" s="212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</row>
    <row r="673" ht="15.75" customHeight="1">
      <c r="A673" s="212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</row>
    <row r="674" ht="15.75" customHeight="1">
      <c r="A674" s="212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</row>
    <row r="675" ht="15.75" customHeight="1">
      <c r="A675" s="212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</row>
    <row r="676" ht="15.75" customHeight="1">
      <c r="A676" s="212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</row>
    <row r="677" ht="15.75" customHeight="1">
      <c r="A677" s="212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</row>
    <row r="678" ht="15.75" customHeight="1">
      <c r="A678" s="212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</row>
    <row r="679" ht="15.75" customHeight="1">
      <c r="A679" s="212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</row>
    <row r="680" ht="15.75" customHeight="1">
      <c r="A680" s="212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</row>
    <row r="681" ht="15.75" customHeight="1">
      <c r="A681" s="212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</row>
    <row r="682" ht="15.75" customHeight="1">
      <c r="A682" s="212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</row>
    <row r="683" ht="15.75" customHeight="1">
      <c r="A683" s="212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</row>
    <row r="684" ht="15.75" customHeight="1">
      <c r="A684" s="212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</row>
    <row r="685" ht="15.75" customHeight="1">
      <c r="A685" s="212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</row>
    <row r="686" ht="15.75" customHeight="1">
      <c r="A686" s="212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</row>
    <row r="687" ht="15.75" customHeight="1">
      <c r="A687" s="212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</row>
    <row r="688" ht="15.75" customHeight="1">
      <c r="A688" s="212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</row>
    <row r="689" ht="15.75" customHeight="1">
      <c r="A689" s="212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</row>
    <row r="690" ht="15.75" customHeight="1">
      <c r="A690" s="212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</row>
    <row r="691" ht="15.75" customHeight="1">
      <c r="A691" s="212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</row>
    <row r="692" ht="15.75" customHeight="1">
      <c r="A692" s="212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</row>
    <row r="693" ht="15.75" customHeight="1">
      <c r="A693" s="212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</row>
    <row r="694" ht="15.75" customHeight="1">
      <c r="A694" s="212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</row>
    <row r="695" ht="15.75" customHeight="1">
      <c r="A695" s="212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</row>
    <row r="696" ht="15.75" customHeight="1">
      <c r="A696" s="212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</row>
    <row r="697" ht="15.75" customHeight="1">
      <c r="A697" s="212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</row>
    <row r="698" ht="15.75" customHeight="1">
      <c r="A698" s="212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</row>
    <row r="699" ht="15.75" customHeight="1">
      <c r="A699" s="212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</row>
    <row r="700" ht="15.75" customHeight="1">
      <c r="A700" s="212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</row>
    <row r="701" ht="15.75" customHeight="1">
      <c r="A701" s="212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</row>
    <row r="702" ht="15.75" customHeight="1">
      <c r="A702" s="212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</row>
    <row r="703" ht="15.75" customHeight="1">
      <c r="A703" s="212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</row>
    <row r="704" ht="15.75" customHeight="1">
      <c r="A704" s="212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</row>
    <row r="705" ht="15.75" customHeight="1">
      <c r="A705" s="212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</row>
    <row r="706" ht="15.75" customHeight="1">
      <c r="A706" s="212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</row>
    <row r="707" ht="15.75" customHeight="1">
      <c r="A707" s="212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</row>
    <row r="708" ht="15.75" customHeight="1">
      <c r="A708" s="212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</row>
    <row r="709" ht="15.75" customHeight="1">
      <c r="A709" s="212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</row>
    <row r="710" ht="15.75" customHeight="1">
      <c r="A710" s="212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</row>
    <row r="711" ht="15.75" customHeight="1">
      <c r="A711" s="212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</row>
    <row r="712" ht="15.75" customHeight="1">
      <c r="A712" s="212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</row>
    <row r="713" ht="15.75" customHeight="1">
      <c r="A713" s="212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</row>
    <row r="714" ht="15.75" customHeight="1">
      <c r="A714" s="212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</row>
    <row r="715" ht="15.75" customHeight="1">
      <c r="A715" s="212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</row>
    <row r="716" ht="15.75" customHeight="1">
      <c r="A716" s="212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</row>
    <row r="717" ht="15.75" customHeight="1">
      <c r="A717" s="212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</row>
    <row r="718" ht="15.75" customHeight="1">
      <c r="A718" s="212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</row>
    <row r="719" ht="15.75" customHeight="1">
      <c r="A719" s="212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</row>
    <row r="720" ht="15.75" customHeight="1">
      <c r="A720" s="212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</row>
    <row r="721" ht="15.75" customHeight="1">
      <c r="A721" s="212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</row>
    <row r="722" ht="15.75" customHeight="1">
      <c r="A722" s="212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</row>
    <row r="723" ht="15.75" customHeight="1">
      <c r="A723" s="212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</row>
    <row r="724" ht="15.75" customHeight="1">
      <c r="A724" s="212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</row>
    <row r="725" ht="15.75" customHeight="1">
      <c r="A725" s="212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</row>
    <row r="726" ht="15.75" customHeight="1">
      <c r="A726" s="212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</row>
    <row r="727" ht="15.75" customHeight="1">
      <c r="A727" s="212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</row>
    <row r="728" ht="15.75" customHeight="1">
      <c r="A728" s="212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</row>
    <row r="729" ht="15.75" customHeight="1">
      <c r="A729" s="212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</row>
    <row r="730" ht="15.75" customHeight="1">
      <c r="A730" s="212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</row>
    <row r="731" ht="15.75" customHeight="1">
      <c r="A731" s="212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</row>
    <row r="732" ht="15.75" customHeight="1">
      <c r="A732" s="212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</row>
    <row r="733" ht="15.75" customHeight="1">
      <c r="A733" s="212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</row>
    <row r="734" ht="15.75" customHeight="1">
      <c r="A734" s="212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</row>
    <row r="735" ht="15.75" customHeight="1">
      <c r="A735" s="212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</row>
    <row r="736" ht="15.75" customHeight="1">
      <c r="A736" s="212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</row>
    <row r="737" ht="15.75" customHeight="1">
      <c r="A737" s="212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</row>
    <row r="738" ht="15.75" customHeight="1">
      <c r="A738" s="212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</row>
    <row r="739" ht="15.75" customHeight="1">
      <c r="A739" s="212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</row>
    <row r="740" ht="15.75" customHeight="1">
      <c r="A740" s="212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</row>
    <row r="741" ht="15.75" customHeight="1">
      <c r="A741" s="212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</row>
    <row r="742" ht="15.75" customHeight="1">
      <c r="A742" s="212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</row>
    <row r="743" ht="15.75" customHeight="1">
      <c r="A743" s="212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</row>
    <row r="744" ht="15.75" customHeight="1">
      <c r="A744" s="212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</row>
    <row r="745" ht="15.75" customHeight="1">
      <c r="A745" s="212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</row>
    <row r="746" ht="15.75" customHeight="1">
      <c r="A746" s="212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</row>
    <row r="747" ht="15.75" customHeight="1">
      <c r="A747" s="212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</row>
    <row r="748" ht="15.75" customHeight="1">
      <c r="A748" s="212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  <c r="AA748" s="212"/>
      <c r="AB748" s="212"/>
      <c r="AC748" s="212"/>
    </row>
    <row r="749" ht="15.75" customHeight="1">
      <c r="A749" s="212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</row>
    <row r="750" ht="15.75" customHeight="1">
      <c r="A750" s="212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</row>
    <row r="751" ht="15.75" customHeight="1">
      <c r="A751" s="212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</row>
    <row r="752" ht="15.75" customHeight="1">
      <c r="A752" s="212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</row>
    <row r="753" ht="15.75" customHeight="1">
      <c r="A753" s="212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</row>
    <row r="754" ht="15.75" customHeight="1">
      <c r="A754" s="212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</row>
    <row r="755" ht="15.75" customHeight="1">
      <c r="A755" s="212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</row>
    <row r="756" ht="15.75" customHeight="1">
      <c r="A756" s="212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</row>
    <row r="757" ht="15.75" customHeight="1">
      <c r="A757" s="212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</row>
    <row r="758" ht="15.75" customHeight="1">
      <c r="A758" s="212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</row>
    <row r="759" ht="15.75" customHeight="1">
      <c r="A759" s="212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</row>
    <row r="760" ht="15.75" customHeight="1">
      <c r="A760" s="212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</row>
    <row r="761" ht="15.75" customHeight="1">
      <c r="A761" s="212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</row>
    <row r="762" ht="15.75" customHeight="1">
      <c r="A762" s="212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</row>
    <row r="763" ht="15.75" customHeight="1">
      <c r="A763" s="212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</row>
    <row r="764" ht="15.75" customHeight="1">
      <c r="A764" s="212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  <c r="AA764" s="212"/>
      <c r="AB764" s="212"/>
      <c r="AC764" s="212"/>
    </row>
    <row r="765" ht="15.75" customHeight="1">
      <c r="A765" s="212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</row>
  </sheetData>
  <mergeCells count="24">
    <mergeCell ref="G1:G3"/>
    <mergeCell ref="I1:I4"/>
    <mergeCell ref="K1:K4"/>
    <mergeCell ref="M1:M4"/>
    <mergeCell ref="O1:O4"/>
    <mergeCell ref="Q1:Q4"/>
    <mergeCell ref="S1:S4"/>
    <mergeCell ref="G4:H4"/>
    <mergeCell ref="P5:Q5"/>
    <mergeCell ref="R6:T6"/>
    <mergeCell ref="E5:E6"/>
    <mergeCell ref="F5:F6"/>
    <mergeCell ref="G5:G6"/>
    <mergeCell ref="H5:I5"/>
    <mergeCell ref="J5:K5"/>
    <mergeCell ref="L5:M5"/>
    <mergeCell ref="N5:O5"/>
    <mergeCell ref="B3:C3"/>
    <mergeCell ref="E3:F3"/>
    <mergeCell ref="B4:C4"/>
    <mergeCell ref="E4:F4"/>
    <mergeCell ref="B5:B6"/>
    <mergeCell ref="C5:C6"/>
    <mergeCell ref="D5:D6"/>
  </mergeCells>
  <conditionalFormatting sqref="R1">
    <cfRule type="expression" dxfId="0" priority="1" stopIfTrue="1">
      <formula>$T$3&lt;&gt;$V$3</formula>
    </cfRule>
  </conditionalFormatting>
  <conditionalFormatting sqref="T1">
    <cfRule type="expression" dxfId="0" priority="2" stopIfTrue="1">
      <formula>$T$3&lt;&gt;$V$3</formula>
    </cfRule>
  </conditionalFormatting>
  <conditionalFormatting sqref="R2:R4">
    <cfRule type="expression" dxfId="0" priority="3" stopIfTrue="1">
      <formula>$T$3&lt;&gt;$V$3</formula>
    </cfRule>
  </conditionalFormatting>
  <conditionalFormatting sqref="T2">
    <cfRule type="expression" dxfId="0" priority="4" stopIfTrue="1">
      <formula>$T$3&lt;&gt;$V$3</formula>
    </cfRule>
  </conditionalFormatting>
  <conditionalFormatting sqref="T3">
    <cfRule type="expression" dxfId="0" priority="5" stopIfTrue="1">
      <formula>$T$3&lt;&gt;$V$3</formula>
    </cfRule>
  </conditionalFormatting>
  <dataValidations>
    <dataValidation type="list" allowBlank="1" showErrorMessage="1" sqref="R9:T13 R15:T23 R25:T30">
      <formula1>"OK,NG"</formula1>
    </dataValidation>
    <dataValidation type="list" allowBlank="1" sqref="F9:F13 F15:F23 F25:F30">
      <formula1>"High,Medium,Low"</formula1>
    </dataValidation>
    <dataValidation type="list" allowBlank="1" showErrorMessage="1" sqref="J9:J13 L9:L13 N9:N13 J15:J23 L15:L23 N15:N23 J25:J30 L25:L30 N25:N30">
      <formula1>"OK,NG,Untested,N/A"</formula1>
    </dataValidation>
  </dataValidations>
  <printOptions horizontalCentered="1"/>
  <pageMargins bottom="0.3937007874015748" footer="0.0" header="0.0" left="0.3937007874015748" right="0.3937007874015748" top="0.7874015748031497"/>
  <pageSetup fitToHeight="0" paperSize="9" orientation="landscape"/>
  <headerFooter>
    <oddFooter>&amp;LDate: &amp;D &amp;T&amp;C&amp;F&amp;R Page: &amp;P 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Row="1"/>
  <cols>
    <col customWidth="1" min="1" max="1" width="15.57"/>
    <col customWidth="1" min="2" max="2" width="8.43"/>
    <col customWidth="1" min="3" max="3" width="30.43"/>
    <col customWidth="1" min="4" max="4" width="42.86"/>
    <col customWidth="1" min="5" max="5" width="51.0"/>
    <col customWidth="1" min="6" max="6" width="13.43"/>
    <col customWidth="1" min="7" max="7" width="13.86"/>
    <col customWidth="1" min="8" max="8" width="10.29"/>
    <col customWidth="1" min="9" max="10" width="16.57"/>
    <col customWidth="1" min="11" max="11" width="12.43"/>
    <col customWidth="1" min="12" max="12" width="15.29"/>
    <col customWidth="1" min="13" max="13" width="9.86"/>
    <col customWidth="1" min="14" max="14" width="15.86"/>
    <col customWidth="1" min="15" max="15" width="12.43"/>
    <col customWidth="1" min="16" max="16" width="10.29"/>
    <col customWidth="1" min="17" max="17" width="12.14"/>
    <col customWidth="1" min="18" max="25" width="9.86"/>
  </cols>
  <sheetData>
    <row r="1">
      <c r="A1" s="213" t="s">
        <v>49</v>
      </c>
      <c r="B1" s="214" t="s">
        <v>112</v>
      </c>
      <c r="C1" s="214"/>
      <c r="D1" s="213" t="s">
        <v>37</v>
      </c>
      <c r="E1" s="215" t="str">
        <f>Cover!E15</f>
        <v>[ExBot] EB01_User Case_Integration Test Cases_v1.0</v>
      </c>
      <c r="F1" s="216"/>
      <c r="G1" s="217" t="s">
        <v>51</v>
      </c>
      <c r="H1" s="218" t="s">
        <v>52</v>
      </c>
      <c r="I1" s="219" t="s">
        <v>40</v>
      </c>
      <c r="J1" s="220">
        <f>COUNTIF(J13:J30,"OK")+COUNTIF(R13:R30,"OK")</f>
        <v>0</v>
      </c>
      <c r="K1" s="219" t="s">
        <v>41</v>
      </c>
      <c r="L1" s="220">
        <f>COUNTIF(J13:J30,"NG")-COUNTIF(R13:R30,"OK")</f>
        <v>0</v>
      </c>
      <c r="M1" s="219" t="s">
        <v>42</v>
      </c>
      <c r="N1" s="220">
        <f>COUNTIF(J13:J329,"Untested")</f>
        <v>20</v>
      </c>
      <c r="O1" s="219" t="s">
        <v>43</v>
      </c>
      <c r="P1" s="220">
        <f>COUNTIF(J13:J30,"N/A")</f>
        <v>0</v>
      </c>
      <c r="Q1" s="219" t="s">
        <v>53</v>
      </c>
      <c r="R1" s="220">
        <f t="shared" ref="R1:R4" si="1">J1+L1+N1+P1</f>
        <v>20</v>
      </c>
      <c r="S1" s="219" t="s">
        <v>54</v>
      </c>
      <c r="T1" s="220">
        <f>COUNTA(K13:K30)</f>
        <v>0</v>
      </c>
      <c r="U1" s="141"/>
      <c r="V1" s="141"/>
      <c r="W1" s="141"/>
      <c r="X1" s="141"/>
      <c r="Y1" s="141"/>
      <c r="Z1" s="141"/>
      <c r="AA1" s="141"/>
      <c r="AB1" s="141"/>
      <c r="AC1" s="141"/>
    </row>
    <row r="2">
      <c r="A2" s="213" t="s">
        <v>55</v>
      </c>
      <c r="B2" s="214" t="s">
        <v>56</v>
      </c>
      <c r="C2" s="221"/>
      <c r="D2" s="213" t="s">
        <v>57</v>
      </c>
      <c r="E2" s="222" t="s">
        <v>113</v>
      </c>
      <c r="F2" s="216"/>
      <c r="G2" s="145"/>
      <c r="H2" s="218" t="s">
        <v>58</v>
      </c>
      <c r="I2" s="145"/>
      <c r="J2" s="220">
        <f>COUNTIF(L13:L30,"OK")+COUNTIF(S13:S30,"OK")</f>
        <v>0</v>
      </c>
      <c r="K2" s="145"/>
      <c r="L2" s="220">
        <f>COUNTIF(L13:L30,"NG")-COUNTIF(S13:S30,"OK")</f>
        <v>0</v>
      </c>
      <c r="M2" s="145"/>
      <c r="N2" s="220">
        <f>COUNTIF(L13:L30,"Untested")</f>
        <v>16</v>
      </c>
      <c r="O2" s="145"/>
      <c r="P2" s="220">
        <f>COUNTIF(L13:L30,"N/A")</f>
        <v>0</v>
      </c>
      <c r="Q2" s="145"/>
      <c r="R2" s="220">
        <f t="shared" si="1"/>
        <v>16</v>
      </c>
      <c r="S2" s="145"/>
      <c r="T2" s="220">
        <f>COUNTA(M13:M30)</f>
        <v>0</v>
      </c>
      <c r="U2" s="141"/>
      <c r="V2" s="141"/>
      <c r="W2" s="141"/>
      <c r="X2" s="141"/>
      <c r="Y2" s="141"/>
      <c r="Z2" s="141"/>
      <c r="AA2" s="141"/>
      <c r="AB2" s="141"/>
      <c r="AC2" s="141"/>
    </row>
    <row r="3">
      <c r="A3" s="223" t="s">
        <v>59</v>
      </c>
      <c r="B3" s="147" t="str">
        <f>Cover!E16</f>
        <v/>
      </c>
      <c r="C3" s="148"/>
      <c r="D3" s="213" t="s">
        <v>60</v>
      </c>
      <c r="E3" s="224" t="str">
        <f>Cover!E18</f>
        <v/>
      </c>
      <c r="F3" s="150"/>
      <c r="G3" s="151"/>
      <c r="H3" s="218" t="s">
        <v>61</v>
      </c>
      <c r="I3" s="145"/>
      <c r="J3" s="220">
        <f>COUNTIF(N13:N30,"OK")+COUNTIF(T13:T30,"OK")</f>
        <v>0</v>
      </c>
      <c r="K3" s="145"/>
      <c r="L3" s="220">
        <f>COUNTIF(N13:N30,"NG")-COUNTIF(T13:T30,"OK")</f>
        <v>0</v>
      </c>
      <c r="M3" s="145"/>
      <c r="N3" s="220">
        <f>COUNTIF(N13:N30,"Untested")</f>
        <v>16</v>
      </c>
      <c r="O3" s="145"/>
      <c r="P3" s="220">
        <f>COUNTIF(N13:N30,"N/A")</f>
        <v>0</v>
      </c>
      <c r="Q3" s="145"/>
      <c r="R3" s="220">
        <f t="shared" si="1"/>
        <v>16</v>
      </c>
      <c r="S3" s="145"/>
      <c r="T3" s="220">
        <f>COUNTA(O13:O30)</f>
        <v>0</v>
      </c>
      <c r="U3" s="212"/>
      <c r="V3" s="212"/>
      <c r="W3" s="212"/>
      <c r="X3" s="212"/>
      <c r="Y3" s="212"/>
      <c r="Z3" s="212"/>
      <c r="AA3" s="212"/>
      <c r="AB3" s="212"/>
      <c r="AC3" s="212"/>
    </row>
    <row r="4">
      <c r="A4" s="223" t="s">
        <v>62</v>
      </c>
      <c r="B4" s="225"/>
      <c r="C4" s="148"/>
      <c r="D4" s="213" t="s">
        <v>63</v>
      </c>
      <c r="E4" s="224"/>
      <c r="F4" s="150"/>
      <c r="G4" s="226" t="s">
        <v>45</v>
      </c>
      <c r="H4" s="150"/>
      <c r="I4" s="151"/>
      <c r="J4" s="227">
        <f>SUM(J1:J3)</f>
        <v>0</v>
      </c>
      <c r="K4" s="151"/>
      <c r="L4" s="227">
        <f>SUM(L1:L3)</f>
        <v>0</v>
      </c>
      <c r="M4" s="151"/>
      <c r="N4" s="227">
        <f>SUM(N1:N3)</f>
        <v>52</v>
      </c>
      <c r="O4" s="151"/>
      <c r="P4" s="227">
        <f>SUM(P1:P3)</f>
        <v>0</v>
      </c>
      <c r="Q4" s="151"/>
      <c r="R4" s="228">
        <f t="shared" si="1"/>
        <v>52</v>
      </c>
      <c r="S4" s="151"/>
      <c r="T4" s="227">
        <f>SUM(T1:T3)</f>
        <v>0</v>
      </c>
      <c r="U4" s="212"/>
      <c r="V4" s="212"/>
      <c r="W4" s="212"/>
      <c r="X4" s="212"/>
      <c r="Y4" s="212"/>
      <c r="Z4" s="212"/>
      <c r="AA4" s="212"/>
      <c r="AB4" s="212"/>
      <c r="AC4" s="212"/>
    </row>
    <row r="5">
      <c r="A5" s="229" t="s">
        <v>64</v>
      </c>
      <c r="B5" s="230" t="s">
        <v>65</v>
      </c>
      <c r="C5" s="231" t="s">
        <v>66</v>
      </c>
      <c r="D5" s="231" t="s">
        <v>67</v>
      </c>
      <c r="E5" s="231" t="s">
        <v>68</v>
      </c>
      <c r="F5" s="231" t="s">
        <v>69</v>
      </c>
      <c r="G5" s="231" t="s">
        <v>70</v>
      </c>
      <c r="H5" s="232" t="s">
        <v>71</v>
      </c>
      <c r="I5" s="148"/>
      <c r="J5" s="232" t="s">
        <v>52</v>
      </c>
      <c r="K5" s="148"/>
      <c r="L5" s="232" t="s">
        <v>58</v>
      </c>
      <c r="M5" s="148"/>
      <c r="N5" s="232" t="s">
        <v>61</v>
      </c>
      <c r="O5" s="148"/>
      <c r="P5" s="233" t="s">
        <v>72</v>
      </c>
      <c r="Q5" s="150"/>
      <c r="R5" s="234" t="s">
        <v>52</v>
      </c>
      <c r="S5" s="235" t="s">
        <v>58</v>
      </c>
      <c r="T5" s="234" t="s">
        <v>61</v>
      </c>
      <c r="U5" s="236"/>
      <c r="V5" s="236"/>
      <c r="W5" s="236"/>
      <c r="X5" s="236"/>
      <c r="Y5" s="236"/>
      <c r="Z5" s="237"/>
      <c r="AA5" s="237"/>
      <c r="AB5" s="237"/>
      <c r="AC5" s="237"/>
    </row>
    <row r="6">
      <c r="A6" s="238" t="s">
        <v>73</v>
      </c>
      <c r="B6" s="151"/>
      <c r="C6" s="151"/>
      <c r="D6" s="151"/>
      <c r="E6" s="151"/>
      <c r="F6" s="151"/>
      <c r="G6" s="151"/>
      <c r="H6" s="239" t="s">
        <v>74</v>
      </c>
      <c r="I6" s="240" t="s">
        <v>75</v>
      </c>
      <c r="J6" s="239" t="s">
        <v>76</v>
      </c>
      <c r="K6" s="239" t="s">
        <v>77</v>
      </c>
      <c r="L6" s="239" t="s">
        <v>76</v>
      </c>
      <c r="M6" s="239" t="s">
        <v>77</v>
      </c>
      <c r="N6" s="239" t="s">
        <v>76</v>
      </c>
      <c r="O6" s="239" t="s">
        <v>77</v>
      </c>
      <c r="P6" s="241" t="s">
        <v>74</v>
      </c>
      <c r="Q6" s="242" t="s">
        <v>75</v>
      </c>
      <c r="R6" s="243" t="s">
        <v>76</v>
      </c>
      <c r="S6" s="244"/>
      <c r="T6" s="245"/>
      <c r="U6" s="236"/>
      <c r="V6" s="236"/>
      <c r="W6" s="236"/>
      <c r="X6" s="236"/>
      <c r="Y6" s="236"/>
      <c r="Z6" s="237"/>
      <c r="AA6" s="237"/>
      <c r="AB6" s="237"/>
      <c r="AC6" s="237"/>
    </row>
    <row r="7">
      <c r="A7" s="169"/>
      <c r="B7" s="170" t="s">
        <v>114</v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1"/>
      <c r="V7" s="171"/>
      <c r="W7" s="171"/>
      <c r="X7" s="171"/>
      <c r="Y7" s="171"/>
      <c r="Z7" s="171"/>
      <c r="AA7" s="171"/>
      <c r="AB7" s="171"/>
      <c r="AC7" s="171"/>
    </row>
    <row r="8">
      <c r="A8" s="169"/>
      <c r="B8" s="246" t="s">
        <v>115</v>
      </c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171"/>
      <c r="V8" s="171"/>
      <c r="W8" s="171"/>
      <c r="X8" s="171"/>
      <c r="Y8" s="171"/>
      <c r="Z8" s="171"/>
      <c r="AA8" s="171"/>
      <c r="AB8" s="171"/>
      <c r="AC8" s="171"/>
    </row>
    <row r="9">
      <c r="A9" s="248"/>
      <c r="B9" s="249" t="s">
        <v>116</v>
      </c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1"/>
      <c r="U9" s="171"/>
      <c r="V9" s="171"/>
      <c r="W9" s="171"/>
      <c r="X9" s="171"/>
      <c r="Y9" s="171"/>
      <c r="Z9" s="171"/>
      <c r="AA9" s="171"/>
      <c r="AB9" s="171"/>
      <c r="AC9" s="171"/>
    </row>
    <row r="10" outlineLevel="1">
      <c r="A10" s="252" t="str">
        <f t="shared" ref="A10:A28" si="2">IF(E10&lt;&gt;"","FUNC_"&amp;TEXT(ROW()-8-COUNTBLANK($E$10:E10),"###"),"")</f>
        <v/>
      </c>
      <c r="B10" s="253"/>
      <c r="C10" s="253"/>
      <c r="D10" s="254"/>
      <c r="E10" s="253"/>
      <c r="F10" s="255" t="s">
        <v>117</v>
      </c>
      <c r="G10" s="253"/>
      <c r="H10" s="256"/>
      <c r="I10" s="257"/>
      <c r="J10" s="258" t="s">
        <v>42</v>
      </c>
      <c r="K10" s="259"/>
      <c r="L10" s="258" t="s">
        <v>42</v>
      </c>
      <c r="M10" s="259"/>
      <c r="N10" s="258" t="s">
        <v>42</v>
      </c>
      <c r="O10" s="259"/>
      <c r="P10" s="260"/>
      <c r="Q10" s="261"/>
      <c r="R10" s="260"/>
      <c r="S10" s="260"/>
      <c r="T10" s="260"/>
      <c r="U10" s="212"/>
      <c r="V10" s="212"/>
      <c r="W10" s="212"/>
      <c r="X10" s="212"/>
      <c r="Y10" s="212"/>
      <c r="Z10" s="212"/>
      <c r="AA10" s="212"/>
      <c r="AB10" s="212"/>
      <c r="AC10" s="212"/>
    </row>
    <row r="11" outlineLevel="1">
      <c r="A11" s="252" t="str">
        <f t="shared" si="2"/>
        <v/>
      </c>
      <c r="B11" s="253"/>
      <c r="C11" s="253"/>
      <c r="D11" s="254"/>
      <c r="E11" s="253"/>
      <c r="F11" s="255" t="s">
        <v>117</v>
      </c>
      <c r="G11" s="253"/>
      <c r="H11" s="256"/>
      <c r="I11" s="257"/>
      <c r="J11" s="258" t="s">
        <v>42</v>
      </c>
      <c r="K11" s="259"/>
      <c r="L11" s="258" t="s">
        <v>42</v>
      </c>
      <c r="M11" s="259"/>
      <c r="N11" s="258" t="s">
        <v>42</v>
      </c>
      <c r="O11" s="259"/>
      <c r="P11" s="260"/>
      <c r="Q11" s="261"/>
      <c r="R11" s="260"/>
      <c r="S11" s="260"/>
      <c r="T11" s="260"/>
      <c r="U11" s="212"/>
      <c r="V11" s="212"/>
      <c r="W11" s="212"/>
      <c r="X11" s="212"/>
      <c r="Y11" s="212"/>
      <c r="Z11" s="212"/>
      <c r="AA11" s="212"/>
      <c r="AB11" s="212"/>
      <c r="AC11" s="212"/>
    </row>
    <row r="12" outlineLevel="1">
      <c r="A12" s="252" t="str">
        <f t="shared" si="2"/>
        <v/>
      </c>
      <c r="B12" s="253"/>
      <c r="C12" s="253"/>
      <c r="D12" s="254"/>
      <c r="E12" s="253"/>
      <c r="F12" s="255" t="s">
        <v>117</v>
      </c>
      <c r="G12" s="253"/>
      <c r="H12" s="256"/>
      <c r="I12" s="257"/>
      <c r="J12" s="258" t="s">
        <v>42</v>
      </c>
      <c r="K12" s="259"/>
      <c r="L12" s="258" t="s">
        <v>42</v>
      </c>
      <c r="M12" s="259"/>
      <c r="N12" s="258" t="s">
        <v>42</v>
      </c>
      <c r="O12" s="259"/>
      <c r="P12" s="260"/>
      <c r="Q12" s="261"/>
      <c r="R12" s="260"/>
      <c r="S12" s="260"/>
      <c r="T12" s="260"/>
      <c r="U12" s="212"/>
      <c r="V12" s="212"/>
      <c r="W12" s="212"/>
      <c r="X12" s="212"/>
      <c r="Y12" s="212"/>
      <c r="Z12" s="212"/>
      <c r="AA12" s="212"/>
      <c r="AB12" s="212"/>
      <c r="AC12" s="212"/>
    </row>
    <row r="13">
      <c r="A13" s="252" t="str">
        <f t="shared" si="2"/>
        <v/>
      </c>
      <c r="B13" s="249" t="s">
        <v>118</v>
      </c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3"/>
      <c r="R13" s="263"/>
      <c r="S13" s="263"/>
      <c r="T13" s="263"/>
      <c r="U13" s="212"/>
      <c r="V13" s="212"/>
      <c r="W13" s="212"/>
      <c r="X13" s="212"/>
      <c r="Y13" s="212"/>
      <c r="Z13" s="212"/>
      <c r="AA13" s="212"/>
      <c r="AB13" s="212"/>
      <c r="AC13" s="212"/>
    </row>
    <row r="14" outlineLevel="1">
      <c r="A14" s="252" t="str">
        <f t="shared" si="2"/>
        <v/>
      </c>
      <c r="B14" s="253"/>
      <c r="C14" s="253"/>
      <c r="D14" s="254"/>
      <c r="E14" s="253"/>
      <c r="F14" s="255" t="s">
        <v>83</v>
      </c>
      <c r="G14" s="253"/>
      <c r="H14" s="256"/>
      <c r="I14" s="257"/>
      <c r="J14" s="258" t="s">
        <v>42</v>
      </c>
      <c r="K14" s="259"/>
      <c r="L14" s="258" t="s">
        <v>42</v>
      </c>
      <c r="M14" s="259"/>
      <c r="N14" s="258" t="s">
        <v>42</v>
      </c>
      <c r="O14" s="259"/>
      <c r="P14" s="260"/>
      <c r="Q14" s="261"/>
      <c r="R14" s="260"/>
      <c r="S14" s="260"/>
      <c r="T14" s="260"/>
      <c r="U14" s="212"/>
      <c r="V14" s="212"/>
      <c r="W14" s="212"/>
      <c r="X14" s="212"/>
      <c r="Y14" s="212"/>
      <c r="Z14" s="212"/>
      <c r="AA14" s="212"/>
      <c r="AB14" s="212"/>
      <c r="AC14" s="212"/>
    </row>
    <row r="15" outlineLevel="1">
      <c r="A15" s="252" t="str">
        <f t="shared" si="2"/>
        <v/>
      </c>
      <c r="B15" s="253"/>
      <c r="C15" s="253"/>
      <c r="D15" s="254"/>
      <c r="E15" s="253"/>
      <c r="F15" s="255" t="s">
        <v>83</v>
      </c>
      <c r="G15" s="253"/>
      <c r="H15" s="256"/>
      <c r="I15" s="257"/>
      <c r="J15" s="258" t="s">
        <v>42</v>
      </c>
      <c r="K15" s="259"/>
      <c r="L15" s="258" t="s">
        <v>42</v>
      </c>
      <c r="M15" s="259"/>
      <c r="N15" s="258" t="s">
        <v>42</v>
      </c>
      <c r="O15" s="259"/>
      <c r="P15" s="260"/>
      <c r="Q15" s="261"/>
      <c r="R15" s="260"/>
      <c r="S15" s="260"/>
      <c r="T15" s="260"/>
      <c r="U15" s="212"/>
      <c r="V15" s="212"/>
      <c r="W15" s="212"/>
      <c r="X15" s="212"/>
      <c r="Y15" s="212"/>
      <c r="Z15" s="212"/>
      <c r="AA15" s="212"/>
      <c r="AB15" s="212"/>
      <c r="AC15" s="212"/>
    </row>
    <row r="16" outlineLevel="1">
      <c r="A16" s="252" t="str">
        <f t="shared" si="2"/>
        <v/>
      </c>
      <c r="B16" s="253"/>
      <c r="C16" s="253"/>
      <c r="D16" s="254"/>
      <c r="E16" s="253"/>
      <c r="F16" s="255" t="s">
        <v>83</v>
      </c>
      <c r="G16" s="253"/>
      <c r="H16" s="256"/>
      <c r="I16" s="257"/>
      <c r="J16" s="258" t="s">
        <v>42</v>
      </c>
      <c r="K16" s="259"/>
      <c r="L16" s="258" t="s">
        <v>42</v>
      </c>
      <c r="M16" s="259"/>
      <c r="N16" s="258" t="s">
        <v>42</v>
      </c>
      <c r="O16" s="259"/>
      <c r="P16" s="260"/>
      <c r="Q16" s="261"/>
      <c r="R16" s="260"/>
      <c r="S16" s="260"/>
      <c r="T16" s="260"/>
      <c r="U16" s="212"/>
      <c r="V16" s="212"/>
      <c r="W16" s="212"/>
      <c r="X16" s="212"/>
      <c r="Y16" s="212"/>
      <c r="Z16" s="212"/>
      <c r="AA16" s="212"/>
      <c r="AB16" s="212"/>
      <c r="AC16" s="212"/>
    </row>
    <row r="17" outlineLevel="1">
      <c r="A17" s="252" t="str">
        <f t="shared" si="2"/>
        <v/>
      </c>
      <c r="B17" s="253"/>
      <c r="C17" s="253"/>
      <c r="D17" s="254"/>
      <c r="E17" s="253"/>
      <c r="F17" s="255" t="s">
        <v>83</v>
      </c>
      <c r="G17" s="253"/>
      <c r="H17" s="256"/>
      <c r="I17" s="257"/>
      <c r="J17" s="258" t="s">
        <v>42</v>
      </c>
      <c r="K17" s="259"/>
      <c r="L17" s="258" t="s">
        <v>42</v>
      </c>
      <c r="M17" s="259"/>
      <c r="N17" s="258" t="s">
        <v>42</v>
      </c>
      <c r="O17" s="259"/>
      <c r="P17" s="260"/>
      <c r="Q17" s="261"/>
      <c r="R17" s="260"/>
      <c r="S17" s="260"/>
      <c r="T17" s="260"/>
      <c r="U17" s="212"/>
      <c r="V17" s="212"/>
      <c r="W17" s="212"/>
      <c r="X17" s="212"/>
      <c r="Y17" s="212"/>
      <c r="Z17" s="212"/>
      <c r="AA17" s="212"/>
      <c r="AB17" s="212"/>
      <c r="AC17" s="212"/>
    </row>
    <row r="18" outlineLevel="1">
      <c r="A18" s="252" t="str">
        <f t="shared" si="2"/>
        <v/>
      </c>
      <c r="B18" s="253"/>
      <c r="C18" s="253"/>
      <c r="D18" s="254"/>
      <c r="E18" s="253"/>
      <c r="F18" s="255" t="s">
        <v>83</v>
      </c>
      <c r="G18" s="253"/>
      <c r="H18" s="256"/>
      <c r="I18" s="257"/>
      <c r="J18" s="258" t="s">
        <v>42</v>
      </c>
      <c r="K18" s="259"/>
      <c r="L18" s="258" t="s">
        <v>42</v>
      </c>
      <c r="M18" s="259"/>
      <c r="N18" s="258" t="s">
        <v>42</v>
      </c>
      <c r="O18" s="259"/>
      <c r="P18" s="260"/>
      <c r="Q18" s="261"/>
      <c r="R18" s="260"/>
      <c r="S18" s="260"/>
      <c r="T18" s="260"/>
      <c r="U18" s="212"/>
      <c r="V18" s="212"/>
      <c r="W18" s="212"/>
      <c r="X18" s="212"/>
      <c r="Y18" s="212"/>
      <c r="Z18" s="212"/>
      <c r="AA18" s="212"/>
      <c r="AB18" s="212"/>
      <c r="AC18" s="212"/>
    </row>
    <row r="19" outlineLevel="1">
      <c r="A19" s="252" t="str">
        <f t="shared" si="2"/>
        <v/>
      </c>
      <c r="B19" s="253"/>
      <c r="C19" s="253"/>
      <c r="D19" s="254"/>
      <c r="E19" s="253"/>
      <c r="F19" s="255" t="s">
        <v>83</v>
      </c>
      <c r="G19" s="253"/>
      <c r="H19" s="256"/>
      <c r="I19" s="257"/>
      <c r="J19" s="258" t="s">
        <v>42</v>
      </c>
      <c r="K19" s="259"/>
      <c r="L19" s="258" t="s">
        <v>42</v>
      </c>
      <c r="M19" s="259"/>
      <c r="N19" s="258" t="s">
        <v>42</v>
      </c>
      <c r="O19" s="259"/>
      <c r="P19" s="260"/>
      <c r="Q19" s="261"/>
      <c r="R19" s="260"/>
      <c r="S19" s="260"/>
      <c r="T19" s="260"/>
      <c r="U19" s="212"/>
      <c r="V19" s="212"/>
      <c r="W19" s="212"/>
      <c r="X19" s="212"/>
      <c r="Y19" s="212"/>
      <c r="Z19" s="212"/>
      <c r="AA19" s="212"/>
      <c r="AB19" s="212"/>
      <c r="AC19" s="212"/>
    </row>
    <row r="20" outlineLevel="1">
      <c r="A20" s="252" t="str">
        <f t="shared" si="2"/>
        <v/>
      </c>
      <c r="B20" s="253"/>
      <c r="C20" s="253"/>
      <c r="D20" s="254"/>
      <c r="E20" s="253"/>
      <c r="F20" s="255" t="s">
        <v>83</v>
      </c>
      <c r="G20" s="253"/>
      <c r="H20" s="256"/>
      <c r="I20" s="257"/>
      <c r="J20" s="258" t="s">
        <v>42</v>
      </c>
      <c r="K20" s="259"/>
      <c r="L20" s="258" t="s">
        <v>42</v>
      </c>
      <c r="M20" s="259"/>
      <c r="N20" s="258" t="s">
        <v>42</v>
      </c>
      <c r="O20" s="259"/>
      <c r="P20" s="260"/>
      <c r="Q20" s="261"/>
      <c r="R20" s="260"/>
      <c r="S20" s="260"/>
      <c r="T20" s="260"/>
      <c r="U20" s="212"/>
      <c r="V20" s="212"/>
      <c r="W20" s="212"/>
      <c r="X20" s="212"/>
      <c r="Y20" s="212"/>
      <c r="Z20" s="212"/>
      <c r="AA20" s="212"/>
      <c r="AB20" s="212"/>
      <c r="AC20" s="212"/>
    </row>
    <row r="21" outlineLevel="1">
      <c r="A21" s="252" t="str">
        <f t="shared" si="2"/>
        <v/>
      </c>
      <c r="B21" s="253"/>
      <c r="C21" s="253"/>
      <c r="D21" s="254"/>
      <c r="E21" s="253"/>
      <c r="F21" s="255" t="s">
        <v>83</v>
      </c>
      <c r="G21" s="253"/>
      <c r="H21" s="256"/>
      <c r="I21" s="257"/>
      <c r="J21" s="258" t="s">
        <v>42</v>
      </c>
      <c r="K21" s="259"/>
      <c r="L21" s="258" t="s">
        <v>42</v>
      </c>
      <c r="M21" s="259"/>
      <c r="N21" s="258" t="s">
        <v>42</v>
      </c>
      <c r="O21" s="259"/>
      <c r="P21" s="260"/>
      <c r="Q21" s="261"/>
      <c r="R21" s="260"/>
      <c r="S21" s="260"/>
      <c r="T21" s="260"/>
      <c r="U21" s="212"/>
      <c r="V21" s="212"/>
      <c r="W21" s="212"/>
      <c r="X21" s="212"/>
      <c r="Y21" s="212"/>
      <c r="Z21" s="212"/>
      <c r="AA21" s="212"/>
      <c r="AB21" s="212"/>
      <c r="AC21" s="212"/>
    </row>
    <row r="22" outlineLevel="1">
      <c r="A22" s="252" t="str">
        <f t="shared" si="2"/>
        <v/>
      </c>
      <c r="B22" s="253"/>
      <c r="C22" s="253"/>
      <c r="D22" s="254"/>
      <c r="E22" s="253"/>
      <c r="F22" s="255" t="s">
        <v>83</v>
      </c>
      <c r="G22" s="253"/>
      <c r="H22" s="256"/>
      <c r="I22" s="257"/>
      <c r="J22" s="258" t="s">
        <v>42</v>
      </c>
      <c r="K22" s="259"/>
      <c r="L22" s="258" t="s">
        <v>42</v>
      </c>
      <c r="M22" s="259"/>
      <c r="N22" s="258" t="s">
        <v>42</v>
      </c>
      <c r="O22" s="259"/>
      <c r="P22" s="260"/>
      <c r="Q22" s="261"/>
      <c r="R22" s="260"/>
      <c r="S22" s="260"/>
      <c r="T22" s="260"/>
      <c r="U22" s="212"/>
      <c r="V22" s="212"/>
      <c r="W22" s="212"/>
      <c r="X22" s="212"/>
      <c r="Y22" s="212"/>
      <c r="Z22" s="212"/>
      <c r="AA22" s="212"/>
      <c r="AB22" s="212"/>
      <c r="AC22" s="212"/>
    </row>
    <row r="23" outlineLevel="1">
      <c r="A23" s="252" t="str">
        <f t="shared" si="2"/>
        <v/>
      </c>
      <c r="B23" s="253"/>
      <c r="C23" s="253"/>
      <c r="D23" s="254"/>
      <c r="E23" s="253"/>
      <c r="F23" s="255" t="s">
        <v>83</v>
      </c>
      <c r="G23" s="253"/>
      <c r="H23" s="256"/>
      <c r="I23" s="257"/>
      <c r="J23" s="258" t="s">
        <v>42</v>
      </c>
      <c r="K23" s="259"/>
      <c r="L23" s="258" t="s">
        <v>42</v>
      </c>
      <c r="M23" s="259"/>
      <c r="N23" s="258" t="s">
        <v>42</v>
      </c>
      <c r="O23" s="259"/>
      <c r="P23" s="260"/>
      <c r="Q23" s="261"/>
      <c r="R23" s="260"/>
      <c r="S23" s="260"/>
      <c r="T23" s="260"/>
      <c r="U23" s="212"/>
      <c r="V23" s="212"/>
      <c r="W23" s="212"/>
      <c r="X23" s="212"/>
      <c r="Y23" s="212"/>
      <c r="Z23" s="212"/>
      <c r="AA23" s="212"/>
      <c r="AB23" s="212"/>
      <c r="AC23" s="212"/>
    </row>
    <row r="24" outlineLevel="1">
      <c r="A24" s="252" t="str">
        <f t="shared" si="2"/>
        <v/>
      </c>
      <c r="B24" s="253"/>
      <c r="C24" s="253"/>
      <c r="D24" s="254"/>
      <c r="E24" s="253"/>
      <c r="F24" s="255" t="s">
        <v>83</v>
      </c>
      <c r="G24" s="253"/>
      <c r="H24" s="256"/>
      <c r="I24" s="257"/>
      <c r="J24" s="258" t="s">
        <v>42</v>
      </c>
      <c r="K24" s="259"/>
      <c r="L24" s="258" t="s">
        <v>42</v>
      </c>
      <c r="M24" s="259"/>
      <c r="N24" s="258" t="s">
        <v>42</v>
      </c>
      <c r="O24" s="259"/>
      <c r="P24" s="260"/>
      <c r="Q24" s="261"/>
      <c r="R24" s="260"/>
      <c r="S24" s="260"/>
      <c r="T24" s="260"/>
      <c r="U24" s="212"/>
      <c r="V24" s="212"/>
      <c r="W24" s="212"/>
      <c r="X24" s="212"/>
      <c r="Y24" s="212"/>
      <c r="Z24" s="212"/>
      <c r="AA24" s="212"/>
      <c r="AB24" s="212"/>
      <c r="AC24" s="212"/>
    </row>
    <row r="25" outlineLevel="1">
      <c r="A25" s="252" t="str">
        <f t="shared" si="2"/>
        <v/>
      </c>
      <c r="B25" s="253"/>
      <c r="C25" s="253"/>
      <c r="D25" s="254"/>
      <c r="E25" s="253"/>
      <c r="F25" s="255" t="s">
        <v>83</v>
      </c>
      <c r="G25" s="253"/>
      <c r="H25" s="256"/>
      <c r="I25" s="257"/>
      <c r="J25" s="258" t="s">
        <v>42</v>
      </c>
      <c r="K25" s="259"/>
      <c r="L25" s="258" t="s">
        <v>42</v>
      </c>
      <c r="M25" s="259"/>
      <c r="N25" s="258" t="s">
        <v>42</v>
      </c>
      <c r="O25" s="259"/>
      <c r="P25" s="260"/>
      <c r="Q25" s="261"/>
      <c r="R25" s="260"/>
      <c r="S25" s="260"/>
      <c r="T25" s="260"/>
      <c r="U25" s="212"/>
      <c r="V25" s="212"/>
      <c r="W25" s="212"/>
      <c r="X25" s="212"/>
      <c r="Y25" s="212"/>
      <c r="Z25" s="212"/>
      <c r="AA25" s="212"/>
      <c r="AB25" s="212"/>
      <c r="AC25" s="212"/>
    </row>
    <row r="26" outlineLevel="1">
      <c r="A26" s="252" t="str">
        <f t="shared" si="2"/>
        <v/>
      </c>
      <c r="B26" s="253"/>
      <c r="C26" s="253"/>
      <c r="D26" s="254"/>
      <c r="E26" s="253"/>
      <c r="F26" s="255" t="s">
        <v>83</v>
      </c>
      <c r="G26" s="253"/>
      <c r="H26" s="256"/>
      <c r="I26" s="257"/>
      <c r="J26" s="258" t="s">
        <v>42</v>
      </c>
      <c r="K26" s="259"/>
      <c r="L26" s="258" t="s">
        <v>42</v>
      </c>
      <c r="M26" s="259"/>
      <c r="N26" s="258" t="s">
        <v>42</v>
      </c>
      <c r="O26" s="259"/>
      <c r="P26" s="260"/>
      <c r="Q26" s="261"/>
      <c r="R26" s="260"/>
      <c r="S26" s="260"/>
      <c r="T26" s="260"/>
      <c r="U26" s="212"/>
      <c r="V26" s="212"/>
      <c r="W26" s="212"/>
      <c r="X26" s="212"/>
      <c r="Y26" s="212"/>
      <c r="Z26" s="212"/>
      <c r="AA26" s="212"/>
      <c r="AB26" s="212"/>
      <c r="AC26" s="212"/>
    </row>
    <row r="27" outlineLevel="1">
      <c r="A27" s="252" t="str">
        <f t="shared" si="2"/>
        <v/>
      </c>
      <c r="B27" s="253"/>
      <c r="C27" s="253"/>
      <c r="D27" s="254"/>
      <c r="E27" s="253"/>
      <c r="F27" s="255" t="s">
        <v>83</v>
      </c>
      <c r="G27" s="253"/>
      <c r="H27" s="256"/>
      <c r="I27" s="257"/>
      <c r="J27" s="258" t="s">
        <v>42</v>
      </c>
      <c r="K27" s="259"/>
      <c r="L27" s="258" t="s">
        <v>42</v>
      </c>
      <c r="M27" s="259"/>
      <c r="N27" s="258" t="s">
        <v>42</v>
      </c>
      <c r="O27" s="259"/>
      <c r="P27" s="260"/>
      <c r="Q27" s="261"/>
      <c r="R27" s="260"/>
      <c r="S27" s="260"/>
      <c r="T27" s="260"/>
      <c r="U27" s="212"/>
      <c r="V27" s="212"/>
      <c r="W27" s="212"/>
      <c r="X27" s="212"/>
      <c r="Y27" s="212"/>
      <c r="Z27" s="212"/>
      <c r="AA27" s="212"/>
      <c r="AB27" s="212"/>
      <c r="AC27" s="212"/>
    </row>
    <row r="28" outlineLevel="1">
      <c r="A28" s="252" t="str">
        <f t="shared" si="2"/>
        <v/>
      </c>
      <c r="B28" s="253"/>
      <c r="C28" s="253"/>
      <c r="D28" s="254"/>
      <c r="E28" s="253"/>
      <c r="F28" s="255" t="s">
        <v>83</v>
      </c>
      <c r="G28" s="253"/>
      <c r="H28" s="256"/>
      <c r="I28" s="257"/>
      <c r="J28" s="258" t="s">
        <v>42</v>
      </c>
      <c r="K28" s="259"/>
      <c r="L28" s="258" t="s">
        <v>42</v>
      </c>
      <c r="M28" s="259"/>
      <c r="N28" s="258" t="s">
        <v>42</v>
      </c>
      <c r="O28" s="259"/>
      <c r="P28" s="260"/>
      <c r="Q28" s="261"/>
      <c r="R28" s="260"/>
      <c r="S28" s="260"/>
      <c r="T28" s="260"/>
      <c r="U28" s="212"/>
      <c r="V28" s="212"/>
      <c r="W28" s="212"/>
      <c r="X28" s="212"/>
      <c r="Y28" s="212"/>
      <c r="Z28" s="212"/>
      <c r="AA28" s="212"/>
      <c r="AB28" s="212"/>
      <c r="AC28" s="212"/>
    </row>
    <row r="29">
      <c r="A29" s="252" t="str">
        <f>IF(E29&lt;&gt;"","FUNC_"&amp;TEXT(ROW()-8-COUNTBLANK($E$10:E30),"###"),"")</f>
        <v/>
      </c>
      <c r="B29" s="249" t="s">
        <v>119</v>
      </c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1"/>
      <c r="U29" s="212"/>
      <c r="V29" s="212"/>
      <c r="W29" s="212"/>
      <c r="X29" s="212"/>
      <c r="Y29" s="212"/>
      <c r="Z29" s="212"/>
      <c r="AA29" s="212"/>
      <c r="AB29" s="212"/>
      <c r="AC29" s="212"/>
    </row>
    <row r="30" outlineLevel="1">
      <c r="A30" s="252" t="str">
        <f t="shared" ref="A30:A34" si="3">IF(E30&lt;&gt;"","FUNC_"&amp;TEXT(ROW()-6-COUNTBLANK($E$7:E30),"###"),"")</f>
        <v/>
      </c>
      <c r="B30" s="264"/>
      <c r="C30" s="264"/>
      <c r="D30" s="264"/>
      <c r="E30" s="264"/>
      <c r="F30" s="265" t="s">
        <v>83</v>
      </c>
      <c r="G30" s="266"/>
      <c r="H30" s="267"/>
      <c r="I30" s="268"/>
      <c r="J30" s="269" t="s">
        <v>42</v>
      </c>
      <c r="K30" s="270"/>
      <c r="L30" s="269" t="s">
        <v>42</v>
      </c>
      <c r="M30" s="270"/>
      <c r="N30" s="269" t="s">
        <v>42</v>
      </c>
      <c r="O30" s="270"/>
      <c r="P30" s="267"/>
      <c r="Q30" s="271"/>
      <c r="R30" s="267"/>
      <c r="S30" s="267"/>
      <c r="T30" s="267"/>
      <c r="U30" s="212"/>
      <c r="V30" s="212"/>
      <c r="W30" s="212"/>
      <c r="X30" s="212"/>
      <c r="Y30" s="212"/>
      <c r="Z30" s="212"/>
      <c r="AA30" s="212"/>
      <c r="AB30" s="212"/>
      <c r="AC30" s="212"/>
    </row>
    <row r="31" outlineLevel="1">
      <c r="A31" s="252" t="str">
        <f t="shared" si="3"/>
        <v/>
      </c>
      <c r="B31" s="264"/>
      <c r="C31" s="264"/>
      <c r="D31" s="264"/>
      <c r="E31" s="264"/>
      <c r="F31" s="265" t="s">
        <v>83</v>
      </c>
      <c r="G31" s="266"/>
      <c r="H31" s="267"/>
      <c r="I31" s="268"/>
      <c r="J31" s="269" t="s">
        <v>42</v>
      </c>
      <c r="K31" s="270"/>
      <c r="L31" s="269" t="s">
        <v>42</v>
      </c>
      <c r="M31" s="270"/>
      <c r="N31" s="269" t="s">
        <v>42</v>
      </c>
      <c r="O31" s="270"/>
      <c r="P31" s="267"/>
      <c r="Q31" s="271"/>
      <c r="R31" s="267"/>
      <c r="S31" s="267"/>
      <c r="T31" s="267"/>
      <c r="U31" s="212"/>
      <c r="V31" s="212"/>
      <c r="W31" s="212"/>
      <c r="X31" s="212"/>
      <c r="Y31" s="212"/>
      <c r="Z31" s="212"/>
      <c r="AA31" s="212"/>
      <c r="AB31" s="212"/>
      <c r="AC31" s="212"/>
    </row>
    <row r="32" outlineLevel="1">
      <c r="A32" s="252" t="str">
        <f t="shared" si="3"/>
        <v/>
      </c>
      <c r="B32" s="264"/>
      <c r="C32" s="264"/>
      <c r="D32" s="264"/>
      <c r="E32" s="264"/>
      <c r="F32" s="265" t="s">
        <v>83</v>
      </c>
      <c r="G32" s="266"/>
      <c r="H32" s="267"/>
      <c r="I32" s="268"/>
      <c r="J32" s="269" t="s">
        <v>42</v>
      </c>
      <c r="K32" s="270"/>
      <c r="L32" s="269" t="s">
        <v>42</v>
      </c>
      <c r="M32" s="270"/>
      <c r="N32" s="269" t="s">
        <v>42</v>
      </c>
      <c r="O32" s="270"/>
      <c r="P32" s="267"/>
      <c r="Q32" s="271"/>
      <c r="R32" s="267"/>
      <c r="S32" s="267"/>
      <c r="T32" s="267"/>
      <c r="U32" s="212"/>
      <c r="V32" s="212"/>
      <c r="W32" s="212"/>
      <c r="X32" s="212"/>
      <c r="Y32" s="212"/>
      <c r="Z32" s="212"/>
      <c r="AA32" s="212"/>
      <c r="AB32" s="212"/>
      <c r="AC32" s="212"/>
    </row>
    <row r="33" outlineLevel="1">
      <c r="A33" s="252" t="str">
        <f t="shared" si="3"/>
        <v/>
      </c>
      <c r="B33" s="264"/>
      <c r="C33" s="264"/>
      <c r="D33" s="264"/>
      <c r="E33" s="264"/>
      <c r="F33" s="265" t="s">
        <v>83</v>
      </c>
      <c r="G33" s="266"/>
      <c r="H33" s="267"/>
      <c r="I33" s="268"/>
      <c r="J33" s="269" t="s">
        <v>42</v>
      </c>
      <c r="K33" s="270"/>
      <c r="L33" s="269" t="s">
        <v>42</v>
      </c>
      <c r="M33" s="270"/>
      <c r="N33" s="269" t="s">
        <v>42</v>
      </c>
      <c r="O33" s="270"/>
      <c r="P33" s="267"/>
      <c r="Q33" s="271"/>
      <c r="R33" s="267"/>
      <c r="S33" s="267"/>
      <c r="T33" s="267"/>
      <c r="U33" s="212"/>
      <c r="V33" s="212"/>
      <c r="W33" s="212"/>
      <c r="X33" s="212"/>
      <c r="Y33" s="212"/>
      <c r="Z33" s="212"/>
      <c r="AA33" s="212"/>
      <c r="AB33" s="212"/>
      <c r="AC33" s="212"/>
    </row>
    <row r="34" outlineLevel="1">
      <c r="A34" s="252" t="str">
        <f t="shared" si="3"/>
        <v/>
      </c>
      <c r="B34" s="264"/>
      <c r="C34" s="264"/>
      <c r="D34" s="264"/>
      <c r="E34" s="264"/>
      <c r="F34" s="265" t="s">
        <v>83</v>
      </c>
      <c r="G34" s="266"/>
      <c r="H34" s="267"/>
      <c r="I34" s="268"/>
      <c r="J34" s="269" t="s">
        <v>42</v>
      </c>
      <c r="K34" s="270"/>
      <c r="L34" s="269" t="s">
        <v>42</v>
      </c>
      <c r="M34" s="270"/>
      <c r="N34" s="269" t="s">
        <v>42</v>
      </c>
      <c r="O34" s="270"/>
      <c r="P34" s="267"/>
      <c r="Q34" s="271"/>
      <c r="R34" s="267"/>
      <c r="S34" s="267"/>
      <c r="T34" s="267"/>
      <c r="U34" s="212"/>
      <c r="V34" s="212"/>
      <c r="W34" s="212"/>
      <c r="X34" s="212"/>
      <c r="Y34" s="212"/>
      <c r="Z34" s="212"/>
      <c r="AA34" s="212"/>
      <c r="AB34" s="212"/>
      <c r="AC34" s="212"/>
    </row>
    <row r="35">
      <c r="A35" s="212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37"/>
      <c r="AA35" s="237"/>
      <c r="AB35" s="237"/>
      <c r="AC35" s="237"/>
    </row>
    <row r="36">
      <c r="A36" s="212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37"/>
      <c r="AA36" s="237"/>
      <c r="AB36" s="237"/>
      <c r="AC36" s="237"/>
    </row>
    <row r="37">
      <c r="A37" s="212"/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37"/>
      <c r="AA37" s="237"/>
      <c r="AB37" s="237"/>
      <c r="AC37" s="237"/>
    </row>
    <row r="38">
      <c r="A38" s="212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37"/>
      <c r="AA38" s="237"/>
      <c r="AB38" s="237"/>
      <c r="AC38" s="237"/>
    </row>
    <row r="39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37"/>
      <c r="AA39" s="237"/>
      <c r="AB39" s="237"/>
      <c r="AC39" s="237"/>
    </row>
    <row r="40">
      <c r="A40" s="212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37"/>
      <c r="AA40" s="237"/>
      <c r="AB40" s="237"/>
      <c r="AC40" s="237"/>
    </row>
    <row r="41">
      <c r="A41" s="212"/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37"/>
      <c r="AA41" s="237"/>
      <c r="AB41" s="237"/>
      <c r="AC41" s="237"/>
    </row>
    <row r="42">
      <c r="A42" s="212"/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37"/>
      <c r="AA42" s="237"/>
      <c r="AB42" s="237"/>
      <c r="AC42" s="237"/>
    </row>
    <row r="43">
      <c r="A43" s="212"/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37"/>
      <c r="AA43" s="237"/>
      <c r="AB43" s="237"/>
      <c r="AC43" s="237"/>
    </row>
    <row r="44">
      <c r="A44" s="212"/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37"/>
      <c r="AA44" s="237"/>
      <c r="AB44" s="237"/>
      <c r="AC44" s="237"/>
    </row>
    <row r="45">
      <c r="A45" s="212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37"/>
      <c r="AA45" s="237"/>
      <c r="AB45" s="237"/>
      <c r="AC45" s="237"/>
    </row>
    <row r="46">
      <c r="A46" s="212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37"/>
      <c r="AA46" s="237"/>
      <c r="AB46" s="237"/>
      <c r="AC46" s="237"/>
    </row>
    <row r="47">
      <c r="A47" s="212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37"/>
      <c r="AA47" s="237"/>
      <c r="AB47" s="237"/>
      <c r="AC47" s="237"/>
    </row>
    <row r="48">
      <c r="A48" s="212"/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37"/>
      <c r="AA48" s="237"/>
      <c r="AB48" s="237"/>
      <c r="AC48" s="237"/>
    </row>
    <row r="49">
      <c r="A49" s="212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37"/>
      <c r="AA49" s="237"/>
      <c r="AB49" s="237"/>
      <c r="AC49" s="237"/>
    </row>
    <row r="50">
      <c r="A50" s="21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37"/>
      <c r="AA50" s="237"/>
      <c r="AB50" s="237"/>
      <c r="AC50" s="237"/>
    </row>
    <row r="51">
      <c r="A51" s="212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37"/>
      <c r="AA51" s="237"/>
      <c r="AB51" s="237"/>
      <c r="AC51" s="237"/>
    </row>
    <row r="52">
      <c r="A52" s="212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37"/>
      <c r="AA52" s="237"/>
      <c r="AB52" s="237"/>
      <c r="AC52" s="237"/>
    </row>
    <row r="53">
      <c r="A53" s="212"/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37"/>
      <c r="AA53" s="237"/>
      <c r="AB53" s="237"/>
      <c r="AC53" s="237"/>
    </row>
    <row r="54">
      <c r="A54" s="212"/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37"/>
      <c r="AA54" s="237"/>
      <c r="AB54" s="237"/>
      <c r="AC54" s="237"/>
    </row>
    <row r="55">
      <c r="A55" s="212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37"/>
      <c r="AA55" s="237"/>
      <c r="AB55" s="237"/>
      <c r="AC55" s="237"/>
    </row>
    <row r="56">
      <c r="A56" s="212"/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37"/>
      <c r="AA56" s="237"/>
      <c r="AB56" s="237"/>
      <c r="AC56" s="237"/>
    </row>
    <row r="57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37"/>
      <c r="AA57" s="237"/>
      <c r="AB57" s="237"/>
      <c r="AC57" s="237"/>
    </row>
    <row r="58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37"/>
      <c r="AA58" s="237"/>
      <c r="AB58" s="237"/>
      <c r="AC58" s="237"/>
    </row>
    <row r="59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37"/>
      <c r="AA59" s="237"/>
      <c r="AB59" s="237"/>
      <c r="AC59" s="237"/>
    </row>
    <row r="60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37"/>
      <c r="AA60" s="237"/>
      <c r="AB60" s="237"/>
      <c r="AC60" s="237"/>
    </row>
    <row r="61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37"/>
      <c r="AA61" s="237"/>
      <c r="AB61" s="237"/>
      <c r="AC61" s="237"/>
    </row>
    <row r="62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37"/>
      <c r="AA62" s="237"/>
      <c r="AB62" s="237"/>
      <c r="AC62" s="237"/>
    </row>
    <row r="63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37"/>
      <c r="AA63" s="237"/>
      <c r="AB63" s="237"/>
      <c r="AC63" s="237"/>
    </row>
    <row r="64">
      <c r="A64" s="237"/>
      <c r="B64" s="237"/>
      <c r="C64" s="237"/>
      <c r="D64" s="237"/>
      <c r="E64" s="237"/>
      <c r="F64" s="237"/>
      <c r="G64" s="237"/>
      <c r="H64" s="237"/>
      <c r="I64" s="237"/>
      <c r="J64" s="212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</row>
    <row r="65">
      <c r="A65" s="237"/>
      <c r="B65" s="237"/>
      <c r="C65" s="237"/>
      <c r="D65" s="237"/>
      <c r="E65" s="237"/>
      <c r="F65" s="237"/>
      <c r="G65" s="237"/>
      <c r="H65" s="237"/>
      <c r="I65" s="237"/>
      <c r="J65" s="212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  <c r="AA65" s="237"/>
      <c r="AB65" s="237"/>
      <c r="AC65" s="237"/>
    </row>
    <row r="66">
      <c r="A66" s="237"/>
      <c r="B66" s="237"/>
      <c r="C66" s="237"/>
      <c r="D66" s="237"/>
      <c r="E66" s="237"/>
      <c r="F66" s="237"/>
      <c r="G66" s="237"/>
      <c r="H66" s="237"/>
      <c r="I66" s="237"/>
      <c r="J66" s="212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  <c r="AA66" s="237"/>
      <c r="AB66" s="237"/>
      <c r="AC66" s="237"/>
    </row>
    <row r="67">
      <c r="A67" s="237"/>
      <c r="B67" s="237"/>
      <c r="C67" s="237"/>
      <c r="D67" s="237"/>
      <c r="E67" s="237"/>
      <c r="F67" s="237"/>
      <c r="G67" s="237"/>
      <c r="H67" s="237"/>
      <c r="I67" s="237"/>
      <c r="J67" s="212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  <c r="AA67" s="237"/>
      <c r="AB67" s="237"/>
      <c r="AC67" s="237"/>
    </row>
    <row r="68">
      <c r="A68" s="237"/>
      <c r="B68" s="237"/>
      <c r="C68" s="237"/>
      <c r="D68" s="237"/>
      <c r="E68" s="237"/>
      <c r="F68" s="237"/>
      <c r="G68" s="237"/>
      <c r="H68" s="237"/>
      <c r="I68" s="237"/>
      <c r="J68" s="212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</row>
    <row r="69">
      <c r="A69" s="237"/>
      <c r="B69" s="237"/>
      <c r="C69" s="237"/>
      <c r="D69" s="237"/>
      <c r="E69" s="237"/>
      <c r="F69" s="237"/>
      <c r="G69" s="237"/>
      <c r="H69" s="237"/>
      <c r="I69" s="237"/>
      <c r="J69" s="212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  <c r="AA69" s="237"/>
      <c r="AB69" s="237"/>
      <c r="AC69" s="237"/>
    </row>
    <row r="70">
      <c r="A70" s="237"/>
      <c r="B70" s="237"/>
      <c r="C70" s="237"/>
      <c r="D70" s="237"/>
      <c r="E70" s="237"/>
      <c r="F70" s="237"/>
      <c r="G70" s="237"/>
      <c r="H70" s="237"/>
      <c r="I70" s="237"/>
      <c r="J70" s="212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  <c r="AC70" s="237"/>
    </row>
    <row r="71">
      <c r="A71" s="237"/>
      <c r="B71" s="237"/>
      <c r="C71" s="237"/>
      <c r="D71" s="237"/>
      <c r="E71" s="237"/>
      <c r="F71" s="237"/>
      <c r="G71" s="237"/>
      <c r="H71" s="237"/>
      <c r="I71" s="237"/>
      <c r="J71" s="212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  <c r="AC71" s="237"/>
    </row>
    <row r="72">
      <c r="A72" s="237"/>
      <c r="B72" s="237"/>
      <c r="C72" s="237"/>
      <c r="D72" s="237"/>
      <c r="E72" s="237"/>
      <c r="F72" s="237"/>
      <c r="G72" s="237"/>
      <c r="H72" s="237"/>
      <c r="I72" s="237"/>
      <c r="J72" s="212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  <c r="AA72" s="237"/>
      <c r="AB72" s="237"/>
      <c r="AC72" s="237"/>
    </row>
    <row r="73">
      <c r="A73" s="237"/>
      <c r="B73" s="237"/>
      <c r="C73" s="237"/>
      <c r="D73" s="237"/>
      <c r="E73" s="237"/>
      <c r="F73" s="237"/>
      <c r="G73" s="237"/>
      <c r="H73" s="237"/>
      <c r="I73" s="237"/>
      <c r="J73" s="212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</row>
    <row r="74">
      <c r="A74" s="237"/>
      <c r="B74" s="237"/>
      <c r="C74" s="237"/>
      <c r="D74" s="237"/>
      <c r="E74" s="237"/>
      <c r="F74" s="237"/>
      <c r="G74" s="237"/>
      <c r="H74" s="237"/>
      <c r="I74" s="237"/>
      <c r="J74" s="212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7"/>
      <c r="AB74" s="237"/>
      <c r="AC74" s="237"/>
    </row>
    <row r="75">
      <c r="A75" s="237"/>
      <c r="B75" s="237"/>
      <c r="C75" s="237"/>
      <c r="D75" s="237"/>
      <c r="E75" s="237"/>
      <c r="F75" s="237"/>
      <c r="G75" s="237"/>
      <c r="H75" s="237"/>
      <c r="I75" s="237"/>
      <c r="J75" s="212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</row>
    <row r="76">
      <c r="A76" s="237"/>
      <c r="B76" s="237"/>
      <c r="C76" s="237"/>
      <c r="D76" s="237"/>
      <c r="E76" s="237"/>
      <c r="F76" s="237"/>
      <c r="G76" s="237"/>
      <c r="H76" s="237"/>
      <c r="I76" s="237"/>
      <c r="J76" s="212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  <c r="AC76" s="237"/>
    </row>
    <row r="77">
      <c r="A77" s="237"/>
      <c r="B77" s="237"/>
      <c r="C77" s="237"/>
      <c r="D77" s="237"/>
      <c r="E77" s="237"/>
      <c r="F77" s="237"/>
      <c r="G77" s="237"/>
      <c r="H77" s="237"/>
      <c r="I77" s="237"/>
      <c r="J77" s="212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</row>
    <row r="78">
      <c r="A78" s="237"/>
      <c r="B78" s="237"/>
      <c r="C78" s="237"/>
      <c r="D78" s="237"/>
      <c r="E78" s="237"/>
      <c r="F78" s="237"/>
      <c r="G78" s="237"/>
      <c r="H78" s="237"/>
      <c r="I78" s="237"/>
      <c r="J78" s="212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  <c r="AC78" s="237"/>
    </row>
    <row r="79">
      <c r="A79" s="237"/>
      <c r="B79" s="237"/>
      <c r="C79" s="237"/>
      <c r="D79" s="237"/>
      <c r="E79" s="237"/>
      <c r="F79" s="237"/>
      <c r="G79" s="237"/>
      <c r="H79" s="237"/>
      <c r="I79" s="237"/>
      <c r="J79" s="212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  <c r="AC79" s="237"/>
    </row>
    <row r="80">
      <c r="A80" s="237"/>
      <c r="B80" s="237"/>
      <c r="C80" s="237"/>
      <c r="D80" s="237"/>
      <c r="E80" s="237"/>
      <c r="F80" s="237"/>
      <c r="G80" s="237"/>
      <c r="H80" s="237"/>
      <c r="I80" s="237"/>
      <c r="J80" s="212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</row>
    <row r="81">
      <c r="A81" s="237"/>
      <c r="B81" s="237"/>
      <c r="C81" s="237"/>
      <c r="D81" s="237"/>
      <c r="E81" s="237"/>
      <c r="F81" s="237"/>
      <c r="G81" s="237"/>
      <c r="H81" s="237"/>
      <c r="I81" s="237"/>
      <c r="J81" s="212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  <c r="AC81" s="237"/>
    </row>
    <row r="82">
      <c r="A82" s="237"/>
      <c r="B82" s="237"/>
      <c r="C82" s="237"/>
      <c r="D82" s="237"/>
      <c r="E82" s="237"/>
      <c r="F82" s="237"/>
      <c r="G82" s="237"/>
      <c r="H82" s="237"/>
      <c r="I82" s="237"/>
      <c r="J82" s="212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  <c r="AC82" s="237"/>
    </row>
    <row r="83">
      <c r="A83" s="237"/>
      <c r="B83" s="237"/>
      <c r="C83" s="237"/>
      <c r="D83" s="237"/>
      <c r="E83" s="237"/>
      <c r="F83" s="237"/>
      <c r="G83" s="237"/>
      <c r="H83" s="237"/>
      <c r="I83" s="237"/>
      <c r="J83" s="212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</row>
    <row r="84">
      <c r="A84" s="237"/>
      <c r="B84" s="237"/>
      <c r="C84" s="237"/>
      <c r="D84" s="237"/>
      <c r="E84" s="237"/>
      <c r="F84" s="237"/>
      <c r="G84" s="237"/>
      <c r="H84" s="237"/>
      <c r="I84" s="237"/>
      <c r="J84" s="212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  <c r="AA84" s="237"/>
      <c r="AB84" s="237"/>
      <c r="AC84" s="237"/>
    </row>
    <row r="85">
      <c r="A85" s="237"/>
      <c r="B85" s="237"/>
      <c r="C85" s="237"/>
      <c r="D85" s="237"/>
      <c r="E85" s="237"/>
      <c r="F85" s="237"/>
      <c r="G85" s="237"/>
      <c r="H85" s="237"/>
      <c r="I85" s="237"/>
      <c r="J85" s="212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  <c r="AC85" s="237"/>
    </row>
    <row r="86">
      <c r="A86" s="237"/>
      <c r="B86" s="237"/>
      <c r="C86" s="237"/>
      <c r="D86" s="237"/>
      <c r="E86" s="237"/>
      <c r="F86" s="237"/>
      <c r="G86" s="237"/>
      <c r="H86" s="237"/>
      <c r="I86" s="237"/>
      <c r="J86" s="212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  <c r="AA86" s="237"/>
      <c r="AB86" s="237"/>
      <c r="AC86" s="237"/>
    </row>
    <row r="87">
      <c r="A87" s="237"/>
      <c r="B87" s="237"/>
      <c r="C87" s="237"/>
      <c r="D87" s="237"/>
      <c r="E87" s="237"/>
      <c r="F87" s="237"/>
      <c r="G87" s="237"/>
      <c r="H87" s="237"/>
      <c r="I87" s="237"/>
      <c r="J87" s="212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  <c r="AA87" s="237"/>
      <c r="AB87" s="237"/>
      <c r="AC87" s="237"/>
    </row>
    <row r="88">
      <c r="A88" s="237"/>
      <c r="B88" s="237"/>
      <c r="C88" s="237"/>
      <c r="D88" s="237"/>
      <c r="E88" s="237"/>
      <c r="F88" s="237"/>
      <c r="G88" s="237"/>
      <c r="H88" s="237"/>
      <c r="I88" s="237"/>
      <c r="J88" s="212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  <c r="AA88" s="237"/>
      <c r="AB88" s="237"/>
      <c r="AC88" s="237"/>
    </row>
    <row r="89">
      <c r="A89" s="237"/>
      <c r="B89" s="237"/>
      <c r="C89" s="237"/>
      <c r="D89" s="237"/>
      <c r="E89" s="237"/>
      <c r="F89" s="237"/>
      <c r="G89" s="237"/>
      <c r="H89" s="237"/>
      <c r="I89" s="237"/>
      <c r="J89" s="212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</row>
    <row r="90">
      <c r="A90" s="237"/>
      <c r="B90" s="237"/>
      <c r="C90" s="237"/>
      <c r="D90" s="237"/>
      <c r="E90" s="237"/>
      <c r="F90" s="237"/>
      <c r="G90" s="237"/>
      <c r="H90" s="237"/>
      <c r="I90" s="237"/>
      <c r="J90" s="212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</row>
    <row r="91">
      <c r="A91" s="237"/>
      <c r="B91" s="237"/>
      <c r="C91" s="237"/>
      <c r="D91" s="237"/>
      <c r="E91" s="237"/>
      <c r="F91" s="237"/>
      <c r="G91" s="237"/>
      <c r="H91" s="237"/>
      <c r="I91" s="237"/>
      <c r="J91" s="212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</row>
    <row r="92">
      <c r="A92" s="237"/>
      <c r="B92" s="237"/>
      <c r="C92" s="237"/>
      <c r="D92" s="237"/>
      <c r="E92" s="237"/>
      <c r="F92" s="237"/>
      <c r="G92" s="237"/>
      <c r="H92" s="237"/>
      <c r="I92" s="237"/>
      <c r="J92" s="212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  <c r="AA92" s="237"/>
      <c r="AB92" s="237"/>
      <c r="AC92" s="237"/>
    </row>
    <row r="93">
      <c r="A93" s="237"/>
      <c r="B93" s="237"/>
      <c r="C93" s="237"/>
      <c r="D93" s="237"/>
      <c r="E93" s="237"/>
      <c r="F93" s="237"/>
      <c r="G93" s="237"/>
      <c r="H93" s="237"/>
      <c r="I93" s="237"/>
      <c r="J93" s="212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</row>
    <row r="94">
      <c r="A94" s="237"/>
      <c r="B94" s="237"/>
      <c r="C94" s="237"/>
      <c r="D94" s="237"/>
      <c r="E94" s="237"/>
      <c r="F94" s="237"/>
      <c r="G94" s="237"/>
      <c r="H94" s="237"/>
      <c r="I94" s="237"/>
      <c r="J94" s="212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  <c r="AA94" s="237"/>
      <c r="AB94" s="237"/>
      <c r="AC94" s="237"/>
    </row>
    <row r="95">
      <c r="A95" s="237"/>
      <c r="B95" s="237"/>
      <c r="C95" s="237"/>
      <c r="D95" s="237"/>
      <c r="E95" s="237"/>
      <c r="F95" s="237"/>
      <c r="G95" s="237"/>
      <c r="H95" s="237"/>
      <c r="I95" s="237"/>
      <c r="J95" s="212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  <c r="AA95" s="237"/>
      <c r="AB95" s="237"/>
      <c r="AC95" s="237"/>
    </row>
    <row r="96">
      <c r="A96" s="237"/>
      <c r="B96" s="237"/>
      <c r="C96" s="237"/>
      <c r="D96" s="237"/>
      <c r="E96" s="237"/>
      <c r="F96" s="237"/>
      <c r="G96" s="237"/>
      <c r="H96" s="237"/>
      <c r="I96" s="237"/>
      <c r="J96" s="212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  <c r="AA96" s="237"/>
      <c r="AB96" s="237"/>
      <c r="AC96" s="237"/>
    </row>
    <row r="97">
      <c r="A97" s="237"/>
      <c r="B97" s="237"/>
      <c r="C97" s="237"/>
      <c r="D97" s="237"/>
      <c r="E97" s="237"/>
      <c r="F97" s="237"/>
      <c r="G97" s="237"/>
      <c r="H97" s="237"/>
      <c r="I97" s="237"/>
      <c r="J97" s="212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  <c r="AA97" s="237"/>
      <c r="AB97" s="237"/>
      <c r="AC97" s="237"/>
    </row>
    <row r="98">
      <c r="A98" s="237"/>
      <c r="B98" s="237"/>
      <c r="C98" s="237"/>
      <c r="D98" s="237"/>
      <c r="E98" s="237"/>
      <c r="F98" s="237"/>
      <c r="G98" s="237"/>
      <c r="H98" s="237"/>
      <c r="I98" s="237"/>
      <c r="J98" s="212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  <c r="AA98" s="237"/>
      <c r="AB98" s="237"/>
      <c r="AC98" s="237"/>
    </row>
    <row r="99">
      <c r="A99" s="237"/>
      <c r="B99" s="237"/>
      <c r="C99" s="237"/>
      <c r="D99" s="237"/>
      <c r="E99" s="237"/>
      <c r="F99" s="237"/>
      <c r="G99" s="237"/>
      <c r="H99" s="237"/>
      <c r="I99" s="237"/>
      <c r="J99" s="212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  <c r="AA99" s="237"/>
      <c r="AB99" s="237"/>
      <c r="AC99" s="237"/>
    </row>
    <row r="100">
      <c r="A100" s="237"/>
      <c r="B100" s="237"/>
      <c r="C100" s="237"/>
      <c r="D100" s="237"/>
      <c r="E100" s="237"/>
      <c r="F100" s="237"/>
      <c r="G100" s="237"/>
      <c r="H100" s="237"/>
      <c r="I100" s="237"/>
      <c r="J100" s="212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  <c r="AA100" s="237"/>
      <c r="AB100" s="237"/>
      <c r="AC100" s="237"/>
    </row>
    <row r="101">
      <c r="A101" s="237"/>
      <c r="B101" s="237"/>
      <c r="C101" s="237"/>
      <c r="D101" s="237"/>
      <c r="E101" s="237"/>
      <c r="F101" s="237"/>
      <c r="G101" s="237"/>
      <c r="H101" s="237"/>
      <c r="I101" s="237"/>
      <c r="J101" s="212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  <c r="AA101" s="237"/>
      <c r="AB101" s="237"/>
      <c r="AC101" s="237"/>
    </row>
    <row r="102">
      <c r="A102" s="237"/>
      <c r="B102" s="237"/>
      <c r="C102" s="237"/>
      <c r="D102" s="237"/>
      <c r="E102" s="237"/>
      <c r="F102" s="237"/>
      <c r="G102" s="237"/>
      <c r="H102" s="237"/>
      <c r="I102" s="237"/>
      <c r="J102" s="212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  <c r="AA102" s="237"/>
      <c r="AB102" s="237"/>
      <c r="AC102" s="237"/>
    </row>
    <row r="103">
      <c r="A103" s="237"/>
      <c r="B103" s="237"/>
      <c r="C103" s="237"/>
      <c r="D103" s="237"/>
      <c r="E103" s="237"/>
      <c r="F103" s="237"/>
      <c r="G103" s="237"/>
      <c r="H103" s="237"/>
      <c r="I103" s="237"/>
      <c r="J103" s="212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  <c r="AA103" s="237"/>
      <c r="AB103" s="237"/>
      <c r="AC103" s="237"/>
    </row>
    <row r="104">
      <c r="A104" s="237"/>
      <c r="B104" s="237"/>
      <c r="C104" s="237"/>
      <c r="D104" s="237"/>
      <c r="E104" s="237"/>
      <c r="F104" s="237"/>
      <c r="G104" s="237"/>
      <c r="H104" s="237"/>
      <c r="I104" s="237"/>
      <c r="J104" s="212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  <c r="AA104" s="237"/>
      <c r="AB104" s="237"/>
      <c r="AC104" s="237"/>
    </row>
    <row r="105">
      <c r="A105" s="237"/>
      <c r="B105" s="237"/>
      <c r="C105" s="237"/>
      <c r="D105" s="237"/>
      <c r="E105" s="237"/>
      <c r="F105" s="237"/>
      <c r="G105" s="237"/>
      <c r="H105" s="237"/>
      <c r="I105" s="237"/>
      <c r="J105" s="212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  <c r="AA105" s="237"/>
      <c r="AB105" s="237"/>
      <c r="AC105" s="237"/>
    </row>
    <row r="106">
      <c r="A106" s="237"/>
      <c r="B106" s="237"/>
      <c r="C106" s="237"/>
      <c r="D106" s="237"/>
      <c r="E106" s="237"/>
      <c r="F106" s="237"/>
      <c r="G106" s="237"/>
      <c r="H106" s="237"/>
      <c r="I106" s="237"/>
      <c r="J106" s="212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  <c r="AA106" s="237"/>
      <c r="AB106" s="237"/>
      <c r="AC106" s="237"/>
    </row>
    <row r="107">
      <c r="A107" s="237"/>
      <c r="B107" s="237"/>
      <c r="C107" s="237"/>
      <c r="D107" s="237"/>
      <c r="E107" s="237"/>
      <c r="F107" s="237"/>
      <c r="G107" s="237"/>
      <c r="H107" s="237"/>
      <c r="I107" s="237"/>
      <c r="J107" s="212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  <c r="AA107" s="237"/>
      <c r="AB107" s="237"/>
      <c r="AC107" s="237"/>
    </row>
    <row r="108">
      <c r="A108" s="237"/>
      <c r="B108" s="237"/>
      <c r="C108" s="237"/>
      <c r="D108" s="237"/>
      <c r="E108" s="237"/>
      <c r="F108" s="237"/>
      <c r="G108" s="237"/>
      <c r="H108" s="237"/>
      <c r="I108" s="237"/>
      <c r="J108" s="212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  <c r="AA108" s="237"/>
      <c r="AB108" s="237"/>
      <c r="AC108" s="237"/>
    </row>
    <row r="109">
      <c r="A109" s="237"/>
      <c r="B109" s="237"/>
      <c r="C109" s="237"/>
      <c r="D109" s="237"/>
      <c r="E109" s="237"/>
      <c r="F109" s="237"/>
      <c r="G109" s="237"/>
      <c r="H109" s="237"/>
      <c r="I109" s="237"/>
      <c r="J109" s="212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  <c r="AA109" s="237"/>
      <c r="AB109" s="237"/>
      <c r="AC109" s="237"/>
    </row>
    <row r="110">
      <c r="A110" s="237"/>
      <c r="B110" s="237"/>
      <c r="C110" s="237"/>
      <c r="D110" s="237"/>
      <c r="E110" s="237"/>
      <c r="F110" s="237"/>
      <c r="G110" s="237"/>
      <c r="H110" s="237"/>
      <c r="I110" s="237"/>
      <c r="J110" s="212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  <c r="AA110" s="237"/>
      <c r="AB110" s="237"/>
      <c r="AC110" s="237"/>
    </row>
    <row r="111">
      <c r="A111" s="237"/>
      <c r="B111" s="237"/>
      <c r="C111" s="237"/>
      <c r="D111" s="237"/>
      <c r="E111" s="237"/>
      <c r="F111" s="237"/>
      <c r="G111" s="237"/>
      <c r="H111" s="237"/>
      <c r="I111" s="237"/>
      <c r="J111" s="212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  <c r="AA111" s="237"/>
      <c r="AB111" s="237"/>
      <c r="AC111" s="237"/>
    </row>
    <row r="112">
      <c r="A112" s="237"/>
      <c r="B112" s="237"/>
      <c r="C112" s="237"/>
      <c r="D112" s="237"/>
      <c r="E112" s="237"/>
      <c r="F112" s="237"/>
      <c r="G112" s="237"/>
      <c r="H112" s="237"/>
      <c r="I112" s="237"/>
      <c r="J112" s="212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</row>
    <row r="113">
      <c r="A113" s="237"/>
      <c r="B113" s="237"/>
      <c r="C113" s="237"/>
      <c r="D113" s="237"/>
      <c r="E113" s="237"/>
      <c r="F113" s="237"/>
      <c r="G113" s="237"/>
      <c r="H113" s="237"/>
      <c r="I113" s="237"/>
      <c r="J113" s="212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  <c r="AA113" s="237"/>
      <c r="AB113" s="237"/>
      <c r="AC113" s="237"/>
    </row>
    <row r="114">
      <c r="A114" s="237"/>
      <c r="B114" s="237"/>
      <c r="C114" s="237"/>
      <c r="D114" s="237"/>
      <c r="E114" s="237"/>
      <c r="F114" s="237"/>
      <c r="G114" s="237"/>
      <c r="H114" s="237"/>
      <c r="I114" s="237"/>
      <c r="J114" s="212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  <c r="AA114" s="237"/>
      <c r="AB114" s="237"/>
      <c r="AC114" s="237"/>
    </row>
    <row r="115">
      <c r="A115" s="237"/>
      <c r="B115" s="237"/>
      <c r="C115" s="237"/>
      <c r="D115" s="237"/>
      <c r="E115" s="237"/>
      <c r="F115" s="237"/>
      <c r="G115" s="237"/>
      <c r="H115" s="237"/>
      <c r="I115" s="237"/>
      <c r="J115" s="212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  <c r="AA115" s="237"/>
      <c r="AB115" s="237"/>
      <c r="AC115" s="237"/>
    </row>
    <row r="116">
      <c r="A116" s="237"/>
      <c r="B116" s="237"/>
      <c r="C116" s="237"/>
      <c r="D116" s="237"/>
      <c r="E116" s="237"/>
      <c r="F116" s="237"/>
      <c r="G116" s="237"/>
      <c r="H116" s="237"/>
      <c r="I116" s="237"/>
      <c r="J116" s="212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  <c r="AA116" s="237"/>
      <c r="AB116" s="237"/>
      <c r="AC116" s="237"/>
    </row>
    <row r="117">
      <c r="A117" s="237"/>
      <c r="B117" s="237"/>
      <c r="C117" s="237"/>
      <c r="D117" s="237"/>
      <c r="E117" s="237"/>
      <c r="F117" s="237"/>
      <c r="G117" s="237"/>
      <c r="H117" s="237"/>
      <c r="I117" s="237"/>
      <c r="J117" s="212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  <c r="AA117" s="237"/>
      <c r="AB117" s="237"/>
      <c r="AC117" s="237"/>
    </row>
    <row r="118">
      <c r="A118" s="237"/>
      <c r="B118" s="237"/>
      <c r="C118" s="237"/>
      <c r="D118" s="237"/>
      <c r="E118" s="237"/>
      <c r="F118" s="237"/>
      <c r="G118" s="237"/>
      <c r="H118" s="237"/>
      <c r="I118" s="237"/>
      <c r="J118" s="212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  <c r="AA118" s="237"/>
      <c r="AB118" s="237"/>
      <c r="AC118" s="237"/>
    </row>
    <row r="119">
      <c r="A119" s="237"/>
      <c r="B119" s="237"/>
      <c r="C119" s="237"/>
      <c r="D119" s="237"/>
      <c r="E119" s="237"/>
      <c r="F119" s="237"/>
      <c r="G119" s="237"/>
      <c r="H119" s="237"/>
      <c r="I119" s="237"/>
      <c r="J119" s="212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  <c r="AA119" s="237"/>
      <c r="AB119" s="237"/>
      <c r="AC119" s="237"/>
    </row>
    <row r="120">
      <c r="A120" s="237"/>
      <c r="B120" s="237"/>
      <c r="C120" s="237"/>
      <c r="D120" s="237"/>
      <c r="E120" s="237"/>
      <c r="F120" s="237"/>
      <c r="G120" s="237"/>
      <c r="H120" s="237"/>
      <c r="I120" s="237"/>
      <c r="J120" s="212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  <c r="AA120" s="237"/>
      <c r="AB120" s="237"/>
      <c r="AC120" s="237"/>
    </row>
    <row r="121">
      <c r="A121" s="237"/>
      <c r="B121" s="237"/>
      <c r="C121" s="237"/>
      <c r="D121" s="237"/>
      <c r="E121" s="237"/>
      <c r="F121" s="237"/>
      <c r="G121" s="237"/>
      <c r="H121" s="237"/>
      <c r="I121" s="237"/>
      <c r="J121" s="212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  <c r="AA121" s="237"/>
      <c r="AB121" s="237"/>
      <c r="AC121" s="237"/>
    </row>
    <row r="122">
      <c r="A122" s="237"/>
      <c r="B122" s="237"/>
      <c r="C122" s="237"/>
      <c r="D122" s="237"/>
      <c r="E122" s="237"/>
      <c r="F122" s="237"/>
      <c r="G122" s="237"/>
      <c r="H122" s="237"/>
      <c r="I122" s="237"/>
      <c r="J122" s="212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  <c r="AA122" s="237"/>
      <c r="AB122" s="237"/>
      <c r="AC122" s="237"/>
    </row>
    <row r="123">
      <c r="A123" s="237"/>
      <c r="B123" s="237"/>
      <c r="C123" s="237"/>
      <c r="D123" s="237"/>
      <c r="E123" s="237"/>
      <c r="F123" s="237"/>
      <c r="G123" s="237"/>
      <c r="H123" s="237"/>
      <c r="I123" s="237"/>
      <c r="J123" s="212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  <c r="AA123" s="237"/>
      <c r="AB123" s="237"/>
      <c r="AC123" s="237"/>
    </row>
    <row r="124">
      <c r="A124" s="237"/>
      <c r="B124" s="237"/>
      <c r="C124" s="237"/>
      <c r="D124" s="237"/>
      <c r="E124" s="237"/>
      <c r="F124" s="237"/>
      <c r="G124" s="237"/>
      <c r="H124" s="237"/>
      <c r="I124" s="237"/>
      <c r="J124" s="212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  <c r="AA124" s="237"/>
      <c r="AB124" s="237"/>
      <c r="AC124" s="237"/>
    </row>
    <row r="125">
      <c r="A125" s="237"/>
      <c r="B125" s="237"/>
      <c r="C125" s="237"/>
      <c r="D125" s="237"/>
      <c r="E125" s="237"/>
      <c r="F125" s="237"/>
      <c r="G125" s="237"/>
      <c r="H125" s="237"/>
      <c r="I125" s="237"/>
      <c r="J125" s="212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  <c r="AA125" s="237"/>
      <c r="AB125" s="237"/>
      <c r="AC125" s="237"/>
    </row>
    <row r="126">
      <c r="A126" s="237"/>
      <c r="B126" s="237"/>
      <c r="C126" s="237"/>
      <c r="D126" s="237"/>
      <c r="E126" s="237"/>
      <c r="F126" s="237"/>
      <c r="G126" s="237"/>
      <c r="H126" s="237"/>
      <c r="I126" s="237"/>
      <c r="J126" s="212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  <c r="AA126" s="237"/>
      <c r="AB126" s="237"/>
      <c r="AC126" s="237"/>
    </row>
    <row r="127">
      <c r="A127" s="237"/>
      <c r="B127" s="237"/>
      <c r="C127" s="237"/>
      <c r="D127" s="237"/>
      <c r="E127" s="237"/>
      <c r="F127" s="237"/>
      <c r="G127" s="237"/>
      <c r="H127" s="237"/>
      <c r="I127" s="237"/>
      <c r="J127" s="212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  <c r="AA127" s="237"/>
      <c r="AB127" s="237"/>
      <c r="AC127" s="237"/>
    </row>
    <row r="128">
      <c r="A128" s="237"/>
      <c r="B128" s="237"/>
      <c r="C128" s="237"/>
      <c r="D128" s="237"/>
      <c r="E128" s="237"/>
      <c r="F128" s="237"/>
      <c r="G128" s="237"/>
      <c r="H128" s="237"/>
      <c r="I128" s="237"/>
      <c r="J128" s="212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  <c r="AA128" s="237"/>
      <c r="AB128" s="237"/>
      <c r="AC128" s="237"/>
    </row>
    <row r="129">
      <c r="A129" s="237"/>
      <c r="B129" s="237"/>
      <c r="C129" s="237"/>
      <c r="D129" s="237"/>
      <c r="E129" s="237"/>
      <c r="F129" s="237"/>
      <c r="G129" s="237"/>
      <c r="H129" s="237"/>
      <c r="I129" s="237"/>
      <c r="J129" s="212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  <c r="AA129" s="237"/>
      <c r="AB129" s="237"/>
      <c r="AC129" s="237"/>
    </row>
    <row r="130">
      <c r="A130" s="237"/>
      <c r="B130" s="237"/>
      <c r="C130" s="237"/>
      <c r="D130" s="237"/>
      <c r="E130" s="237"/>
      <c r="F130" s="237"/>
      <c r="G130" s="237"/>
      <c r="H130" s="237"/>
      <c r="I130" s="237"/>
      <c r="J130" s="212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  <c r="AA130" s="237"/>
      <c r="AB130" s="237"/>
      <c r="AC130" s="237"/>
    </row>
    <row r="131">
      <c r="A131" s="237"/>
      <c r="B131" s="237"/>
      <c r="C131" s="237"/>
      <c r="D131" s="237"/>
      <c r="E131" s="237"/>
      <c r="F131" s="237"/>
      <c r="G131" s="237"/>
      <c r="H131" s="237"/>
      <c r="I131" s="237"/>
      <c r="J131" s="212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</row>
    <row r="132">
      <c r="A132" s="237"/>
      <c r="B132" s="237"/>
      <c r="C132" s="237"/>
      <c r="D132" s="237"/>
      <c r="E132" s="237"/>
      <c r="F132" s="237"/>
      <c r="G132" s="237"/>
      <c r="H132" s="237"/>
      <c r="I132" s="237"/>
      <c r="J132" s="212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  <c r="AA132" s="237"/>
      <c r="AB132" s="237"/>
      <c r="AC132" s="237"/>
    </row>
    <row r="133">
      <c r="A133" s="237"/>
      <c r="B133" s="237"/>
      <c r="C133" s="237"/>
      <c r="D133" s="237"/>
      <c r="E133" s="237"/>
      <c r="F133" s="237"/>
      <c r="G133" s="237"/>
      <c r="H133" s="237"/>
      <c r="I133" s="237"/>
      <c r="J133" s="212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  <c r="AA133" s="237"/>
      <c r="AB133" s="237"/>
      <c r="AC133" s="237"/>
    </row>
    <row r="134">
      <c r="A134" s="237"/>
      <c r="B134" s="237"/>
      <c r="C134" s="237"/>
      <c r="D134" s="237"/>
      <c r="E134" s="237"/>
      <c r="F134" s="237"/>
      <c r="G134" s="237"/>
      <c r="H134" s="237"/>
      <c r="I134" s="237"/>
      <c r="J134" s="212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  <c r="AA134" s="237"/>
      <c r="AB134" s="237"/>
      <c r="AC134" s="237"/>
    </row>
    <row r="135">
      <c r="A135" s="237"/>
      <c r="B135" s="237"/>
      <c r="C135" s="237"/>
      <c r="D135" s="237"/>
      <c r="E135" s="237"/>
      <c r="F135" s="237"/>
      <c r="G135" s="237"/>
      <c r="H135" s="237"/>
      <c r="I135" s="237"/>
      <c r="J135" s="212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  <c r="AA135" s="237"/>
      <c r="AB135" s="237"/>
      <c r="AC135" s="237"/>
    </row>
    <row r="136">
      <c r="A136" s="237"/>
      <c r="B136" s="237"/>
      <c r="C136" s="237"/>
      <c r="D136" s="237"/>
      <c r="E136" s="237"/>
      <c r="F136" s="237"/>
      <c r="G136" s="237"/>
      <c r="H136" s="237"/>
      <c r="I136" s="237"/>
      <c r="J136" s="212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  <c r="AA136" s="237"/>
      <c r="AB136" s="237"/>
      <c r="AC136" s="237"/>
    </row>
    <row r="137">
      <c r="A137" s="237"/>
      <c r="B137" s="237"/>
      <c r="C137" s="237"/>
      <c r="D137" s="237"/>
      <c r="E137" s="237"/>
      <c r="F137" s="237"/>
      <c r="G137" s="237"/>
      <c r="H137" s="237"/>
      <c r="I137" s="237"/>
      <c r="J137" s="212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</row>
    <row r="138">
      <c r="A138" s="237"/>
      <c r="B138" s="237"/>
      <c r="C138" s="237"/>
      <c r="D138" s="237"/>
      <c r="E138" s="237"/>
      <c r="F138" s="237"/>
      <c r="G138" s="237"/>
      <c r="H138" s="237"/>
      <c r="I138" s="237"/>
      <c r="J138" s="212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  <c r="AA138" s="237"/>
      <c r="AB138" s="237"/>
      <c r="AC138" s="237"/>
    </row>
    <row r="139">
      <c r="A139" s="237"/>
      <c r="B139" s="237"/>
      <c r="C139" s="237"/>
      <c r="D139" s="237"/>
      <c r="E139" s="237"/>
      <c r="F139" s="237"/>
      <c r="G139" s="237"/>
      <c r="H139" s="237"/>
      <c r="I139" s="237"/>
      <c r="J139" s="212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  <c r="AA139" s="237"/>
      <c r="AB139" s="237"/>
      <c r="AC139" s="237"/>
    </row>
    <row r="140">
      <c r="A140" s="237"/>
      <c r="B140" s="237"/>
      <c r="C140" s="237"/>
      <c r="D140" s="237"/>
      <c r="E140" s="237"/>
      <c r="F140" s="237"/>
      <c r="G140" s="237"/>
      <c r="H140" s="237"/>
      <c r="I140" s="237"/>
      <c r="J140" s="212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  <c r="AA140" s="237"/>
      <c r="AB140" s="237"/>
      <c r="AC140" s="237"/>
    </row>
    <row r="141">
      <c r="A141" s="237"/>
      <c r="B141" s="237"/>
      <c r="C141" s="237"/>
      <c r="D141" s="237"/>
      <c r="E141" s="237"/>
      <c r="F141" s="237"/>
      <c r="G141" s="237"/>
      <c r="H141" s="237"/>
      <c r="I141" s="237"/>
      <c r="J141" s="212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  <c r="AA141" s="237"/>
      <c r="AB141" s="237"/>
      <c r="AC141" s="237"/>
    </row>
    <row r="142">
      <c r="A142" s="237"/>
      <c r="B142" s="237"/>
      <c r="C142" s="237"/>
      <c r="D142" s="237"/>
      <c r="E142" s="237"/>
      <c r="F142" s="237"/>
      <c r="G142" s="237"/>
      <c r="H142" s="237"/>
      <c r="I142" s="237"/>
      <c r="J142" s="212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237"/>
      <c r="AB142" s="237"/>
      <c r="AC142" s="237"/>
    </row>
    <row r="143">
      <c r="A143" s="237"/>
      <c r="B143" s="237"/>
      <c r="C143" s="237"/>
      <c r="D143" s="237"/>
      <c r="E143" s="237"/>
      <c r="F143" s="237"/>
      <c r="G143" s="237"/>
      <c r="H143" s="237"/>
      <c r="I143" s="237"/>
      <c r="J143" s="212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  <c r="AA143" s="237"/>
      <c r="AB143" s="237"/>
      <c r="AC143" s="237"/>
    </row>
    <row r="144">
      <c r="A144" s="237"/>
      <c r="B144" s="237"/>
      <c r="C144" s="237"/>
      <c r="D144" s="237"/>
      <c r="E144" s="237"/>
      <c r="F144" s="237"/>
      <c r="G144" s="237"/>
      <c r="H144" s="237"/>
      <c r="I144" s="237"/>
      <c r="J144" s="212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  <c r="AA144" s="237"/>
      <c r="AB144" s="237"/>
      <c r="AC144" s="237"/>
    </row>
    <row r="145">
      <c r="A145" s="237"/>
      <c r="B145" s="237"/>
      <c r="C145" s="237"/>
      <c r="D145" s="237"/>
      <c r="E145" s="237"/>
      <c r="F145" s="237"/>
      <c r="G145" s="237"/>
      <c r="H145" s="237"/>
      <c r="I145" s="237"/>
      <c r="J145" s="212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  <c r="AA145" s="237"/>
      <c r="AB145" s="237"/>
      <c r="AC145" s="237"/>
    </row>
    <row r="146">
      <c r="A146" s="237"/>
      <c r="B146" s="237"/>
      <c r="C146" s="237"/>
      <c r="D146" s="237"/>
      <c r="E146" s="237"/>
      <c r="F146" s="237"/>
      <c r="G146" s="237"/>
      <c r="H146" s="237"/>
      <c r="I146" s="237"/>
      <c r="J146" s="212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</row>
    <row r="147">
      <c r="A147" s="237"/>
      <c r="B147" s="237"/>
      <c r="C147" s="237"/>
      <c r="D147" s="237"/>
      <c r="E147" s="237"/>
      <c r="F147" s="237"/>
      <c r="G147" s="237"/>
      <c r="H147" s="237"/>
      <c r="I147" s="237"/>
      <c r="J147" s="212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</row>
    <row r="148">
      <c r="A148" s="237"/>
      <c r="B148" s="237"/>
      <c r="C148" s="237"/>
      <c r="D148" s="237"/>
      <c r="E148" s="237"/>
      <c r="F148" s="237"/>
      <c r="G148" s="237"/>
      <c r="H148" s="237"/>
      <c r="I148" s="237"/>
      <c r="J148" s="212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</row>
    <row r="149">
      <c r="A149" s="237"/>
      <c r="B149" s="237"/>
      <c r="C149" s="237"/>
      <c r="D149" s="237"/>
      <c r="E149" s="237"/>
      <c r="F149" s="237"/>
      <c r="G149" s="237"/>
      <c r="H149" s="237"/>
      <c r="I149" s="237"/>
      <c r="J149" s="212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  <c r="AA149" s="237"/>
      <c r="AB149" s="237"/>
      <c r="AC149" s="237"/>
    </row>
    <row r="150">
      <c r="A150" s="237"/>
      <c r="B150" s="237"/>
      <c r="C150" s="237"/>
      <c r="D150" s="237"/>
      <c r="E150" s="237"/>
      <c r="F150" s="237"/>
      <c r="G150" s="237"/>
      <c r="H150" s="237"/>
      <c r="I150" s="237"/>
      <c r="J150" s="212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  <c r="AA150" s="237"/>
      <c r="AB150" s="237"/>
      <c r="AC150" s="237"/>
    </row>
    <row r="151">
      <c r="A151" s="237"/>
      <c r="B151" s="237"/>
      <c r="C151" s="237"/>
      <c r="D151" s="237"/>
      <c r="E151" s="237"/>
      <c r="F151" s="237"/>
      <c r="G151" s="237"/>
      <c r="H151" s="237"/>
      <c r="I151" s="237"/>
      <c r="J151" s="212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</row>
    <row r="152">
      <c r="A152" s="237"/>
      <c r="B152" s="237"/>
      <c r="C152" s="237"/>
      <c r="D152" s="237"/>
      <c r="E152" s="237"/>
      <c r="F152" s="237"/>
      <c r="G152" s="237"/>
      <c r="H152" s="237"/>
      <c r="I152" s="237"/>
      <c r="J152" s="212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  <c r="AA152" s="237"/>
      <c r="AB152" s="237"/>
      <c r="AC152" s="237"/>
    </row>
    <row r="153">
      <c r="A153" s="237"/>
      <c r="B153" s="237"/>
      <c r="C153" s="237"/>
      <c r="D153" s="237"/>
      <c r="E153" s="237"/>
      <c r="F153" s="237"/>
      <c r="G153" s="237"/>
      <c r="H153" s="237"/>
      <c r="I153" s="237"/>
      <c r="J153" s="212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  <c r="AA153" s="237"/>
      <c r="AB153" s="237"/>
      <c r="AC153" s="237"/>
    </row>
    <row r="154">
      <c r="A154" s="237"/>
      <c r="B154" s="237"/>
      <c r="C154" s="237"/>
      <c r="D154" s="237"/>
      <c r="E154" s="237"/>
      <c r="F154" s="237"/>
      <c r="G154" s="237"/>
      <c r="H154" s="237"/>
      <c r="I154" s="237"/>
      <c r="J154" s="212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7"/>
      <c r="AC154" s="237"/>
    </row>
    <row r="155">
      <c r="A155" s="237"/>
      <c r="B155" s="237"/>
      <c r="C155" s="237"/>
      <c r="D155" s="237"/>
      <c r="E155" s="237"/>
      <c r="F155" s="237"/>
      <c r="G155" s="237"/>
      <c r="H155" s="237"/>
      <c r="I155" s="237"/>
      <c r="J155" s="212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  <c r="AA155" s="237"/>
      <c r="AB155" s="237"/>
      <c r="AC155" s="237"/>
    </row>
    <row r="156">
      <c r="A156" s="237"/>
      <c r="B156" s="237"/>
      <c r="C156" s="237"/>
      <c r="D156" s="237"/>
      <c r="E156" s="237"/>
      <c r="F156" s="237"/>
      <c r="G156" s="237"/>
      <c r="H156" s="237"/>
      <c r="I156" s="237"/>
      <c r="J156" s="212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</row>
    <row r="157">
      <c r="A157" s="237"/>
      <c r="B157" s="237"/>
      <c r="C157" s="237"/>
      <c r="D157" s="237"/>
      <c r="E157" s="237"/>
      <c r="F157" s="237"/>
      <c r="G157" s="237"/>
      <c r="H157" s="237"/>
      <c r="I157" s="237"/>
      <c r="J157" s="212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  <c r="AA157" s="237"/>
      <c r="AB157" s="237"/>
      <c r="AC157" s="237"/>
    </row>
    <row r="158">
      <c r="A158" s="237"/>
      <c r="B158" s="237"/>
      <c r="C158" s="237"/>
      <c r="D158" s="237"/>
      <c r="E158" s="237"/>
      <c r="F158" s="237"/>
      <c r="G158" s="237"/>
      <c r="H158" s="237"/>
      <c r="I158" s="237"/>
      <c r="J158" s="212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  <c r="AA158" s="237"/>
      <c r="AB158" s="237"/>
      <c r="AC158" s="237"/>
    </row>
    <row r="159">
      <c r="A159" s="237"/>
      <c r="B159" s="237"/>
      <c r="C159" s="237"/>
      <c r="D159" s="237"/>
      <c r="E159" s="237"/>
      <c r="F159" s="237"/>
      <c r="G159" s="237"/>
      <c r="H159" s="237"/>
      <c r="I159" s="237"/>
      <c r="J159" s="212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  <c r="AA159" s="237"/>
      <c r="AB159" s="237"/>
      <c r="AC159" s="237"/>
    </row>
    <row r="160">
      <c r="A160" s="237"/>
      <c r="B160" s="237"/>
      <c r="C160" s="237"/>
      <c r="D160" s="237"/>
      <c r="E160" s="237"/>
      <c r="F160" s="237"/>
      <c r="G160" s="237"/>
      <c r="H160" s="237"/>
      <c r="I160" s="237"/>
      <c r="J160" s="212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  <c r="AA160" s="237"/>
      <c r="AB160" s="237"/>
      <c r="AC160" s="237"/>
    </row>
    <row r="161">
      <c r="A161" s="237"/>
      <c r="B161" s="237"/>
      <c r="C161" s="237"/>
      <c r="D161" s="237"/>
      <c r="E161" s="237"/>
      <c r="F161" s="237"/>
      <c r="G161" s="237"/>
      <c r="H161" s="237"/>
      <c r="I161" s="237"/>
      <c r="J161" s="212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  <c r="AA161" s="237"/>
      <c r="AB161" s="237"/>
      <c r="AC161" s="237"/>
    </row>
    <row r="162">
      <c r="A162" s="237"/>
      <c r="B162" s="237"/>
      <c r="C162" s="237"/>
      <c r="D162" s="237"/>
      <c r="E162" s="237"/>
      <c r="F162" s="237"/>
      <c r="G162" s="237"/>
      <c r="H162" s="237"/>
      <c r="I162" s="237"/>
      <c r="J162" s="212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  <c r="AA162" s="237"/>
      <c r="AB162" s="237"/>
      <c r="AC162" s="237"/>
    </row>
    <row r="163">
      <c r="A163" s="237"/>
      <c r="B163" s="237"/>
      <c r="C163" s="237"/>
      <c r="D163" s="237"/>
      <c r="E163" s="237"/>
      <c r="F163" s="237"/>
      <c r="G163" s="237"/>
      <c r="H163" s="237"/>
      <c r="I163" s="237"/>
      <c r="J163" s="212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  <c r="AA163" s="237"/>
      <c r="AB163" s="237"/>
      <c r="AC163" s="237"/>
    </row>
    <row r="164">
      <c r="A164" s="237"/>
      <c r="B164" s="237"/>
      <c r="C164" s="237"/>
      <c r="D164" s="237"/>
      <c r="E164" s="237"/>
      <c r="F164" s="237"/>
      <c r="G164" s="237"/>
      <c r="H164" s="237"/>
      <c r="I164" s="237"/>
      <c r="J164" s="212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  <c r="AA164" s="237"/>
      <c r="AB164" s="237"/>
      <c r="AC164" s="237"/>
    </row>
    <row r="165">
      <c r="A165" s="237"/>
      <c r="B165" s="237"/>
      <c r="C165" s="237"/>
      <c r="D165" s="237"/>
      <c r="E165" s="237"/>
      <c r="F165" s="237"/>
      <c r="G165" s="237"/>
      <c r="H165" s="237"/>
      <c r="I165" s="237"/>
      <c r="J165" s="212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  <c r="AA165" s="237"/>
      <c r="AB165" s="237"/>
      <c r="AC165" s="237"/>
    </row>
    <row r="166">
      <c r="A166" s="237"/>
      <c r="B166" s="237"/>
      <c r="C166" s="237"/>
      <c r="D166" s="237"/>
      <c r="E166" s="237"/>
      <c r="F166" s="237"/>
      <c r="G166" s="237"/>
      <c r="H166" s="237"/>
      <c r="I166" s="237"/>
      <c r="J166" s="212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  <c r="AA166" s="237"/>
      <c r="AB166" s="237"/>
      <c r="AC166" s="237"/>
    </row>
    <row r="167">
      <c r="A167" s="237"/>
      <c r="B167" s="237"/>
      <c r="C167" s="237"/>
      <c r="D167" s="237"/>
      <c r="E167" s="237"/>
      <c r="F167" s="237"/>
      <c r="G167" s="237"/>
      <c r="H167" s="237"/>
      <c r="I167" s="237"/>
      <c r="J167" s="212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  <c r="AA167" s="237"/>
      <c r="AB167" s="237"/>
      <c r="AC167" s="237"/>
    </row>
    <row r="168">
      <c r="A168" s="237"/>
      <c r="B168" s="237"/>
      <c r="C168" s="237"/>
      <c r="D168" s="237"/>
      <c r="E168" s="237"/>
      <c r="F168" s="237"/>
      <c r="G168" s="237"/>
      <c r="H168" s="237"/>
      <c r="I168" s="237"/>
      <c r="J168" s="212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  <c r="AA168" s="237"/>
      <c r="AB168" s="237"/>
      <c r="AC168" s="237"/>
    </row>
    <row r="169">
      <c r="A169" s="237"/>
      <c r="B169" s="237"/>
      <c r="C169" s="237"/>
      <c r="D169" s="237"/>
      <c r="E169" s="237"/>
      <c r="F169" s="237"/>
      <c r="G169" s="237"/>
      <c r="H169" s="237"/>
      <c r="I169" s="237"/>
      <c r="J169" s="212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  <c r="AA169" s="237"/>
      <c r="AB169" s="237"/>
      <c r="AC169" s="237"/>
    </row>
    <row r="170">
      <c r="A170" s="237"/>
      <c r="B170" s="237"/>
      <c r="C170" s="237"/>
      <c r="D170" s="237"/>
      <c r="E170" s="237"/>
      <c r="F170" s="237"/>
      <c r="G170" s="237"/>
      <c r="H170" s="237"/>
      <c r="I170" s="237"/>
      <c r="J170" s="212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  <c r="AA170" s="237"/>
      <c r="AB170" s="237"/>
      <c r="AC170" s="237"/>
    </row>
    <row r="171">
      <c r="A171" s="237"/>
      <c r="B171" s="237"/>
      <c r="C171" s="237"/>
      <c r="D171" s="237"/>
      <c r="E171" s="237"/>
      <c r="F171" s="237"/>
      <c r="G171" s="237"/>
      <c r="H171" s="237"/>
      <c r="I171" s="237"/>
      <c r="J171" s="212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  <c r="AA171" s="237"/>
      <c r="AB171" s="237"/>
      <c r="AC171" s="237"/>
    </row>
    <row r="172">
      <c r="A172" s="237"/>
      <c r="B172" s="237"/>
      <c r="C172" s="237"/>
      <c r="D172" s="237"/>
      <c r="E172" s="237"/>
      <c r="F172" s="237"/>
      <c r="G172" s="237"/>
      <c r="H172" s="237"/>
      <c r="I172" s="237"/>
      <c r="J172" s="212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  <c r="AA172" s="237"/>
      <c r="AB172" s="237"/>
      <c r="AC172" s="237"/>
    </row>
    <row r="173">
      <c r="A173" s="237"/>
      <c r="B173" s="237"/>
      <c r="C173" s="237"/>
      <c r="D173" s="237"/>
      <c r="E173" s="237"/>
      <c r="F173" s="237"/>
      <c r="G173" s="237"/>
      <c r="H173" s="237"/>
      <c r="I173" s="237"/>
      <c r="J173" s="212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  <c r="AA173" s="237"/>
      <c r="AB173" s="237"/>
      <c r="AC173" s="237"/>
    </row>
    <row r="174">
      <c r="A174" s="237"/>
      <c r="B174" s="237"/>
      <c r="C174" s="237"/>
      <c r="D174" s="237"/>
      <c r="E174" s="237"/>
      <c r="F174" s="237"/>
      <c r="G174" s="237"/>
      <c r="H174" s="237"/>
      <c r="I174" s="237"/>
      <c r="J174" s="212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  <c r="AA174" s="237"/>
      <c r="AB174" s="237"/>
      <c r="AC174" s="237"/>
    </row>
    <row r="175">
      <c r="A175" s="237"/>
      <c r="B175" s="237"/>
      <c r="C175" s="237"/>
      <c r="D175" s="237"/>
      <c r="E175" s="237"/>
      <c r="F175" s="237"/>
      <c r="G175" s="237"/>
      <c r="H175" s="237"/>
      <c r="I175" s="237"/>
      <c r="J175" s="212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  <c r="AA175" s="237"/>
      <c r="AB175" s="237"/>
      <c r="AC175" s="237"/>
    </row>
    <row r="176">
      <c r="A176" s="237"/>
      <c r="B176" s="237"/>
      <c r="C176" s="237"/>
      <c r="D176" s="237"/>
      <c r="E176" s="237"/>
      <c r="F176" s="237"/>
      <c r="G176" s="237"/>
      <c r="H176" s="237"/>
      <c r="I176" s="237"/>
      <c r="J176" s="212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  <c r="AA176" s="237"/>
      <c r="AB176" s="237"/>
      <c r="AC176" s="237"/>
    </row>
    <row r="177">
      <c r="A177" s="237"/>
      <c r="B177" s="237"/>
      <c r="C177" s="237"/>
      <c r="D177" s="237"/>
      <c r="E177" s="237"/>
      <c r="F177" s="237"/>
      <c r="G177" s="237"/>
      <c r="H177" s="237"/>
      <c r="I177" s="237"/>
      <c r="J177" s="212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  <c r="AA177" s="237"/>
      <c r="AB177" s="237"/>
      <c r="AC177" s="237"/>
    </row>
    <row r="178">
      <c r="A178" s="237"/>
      <c r="B178" s="237"/>
      <c r="C178" s="237"/>
      <c r="D178" s="237"/>
      <c r="E178" s="237"/>
      <c r="F178" s="237"/>
      <c r="G178" s="237"/>
      <c r="H178" s="237"/>
      <c r="I178" s="237"/>
      <c r="J178" s="212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  <c r="AA178" s="237"/>
      <c r="AB178" s="237"/>
      <c r="AC178" s="237"/>
    </row>
    <row r="179">
      <c r="A179" s="237"/>
      <c r="B179" s="237"/>
      <c r="C179" s="237"/>
      <c r="D179" s="237"/>
      <c r="E179" s="237"/>
      <c r="F179" s="237"/>
      <c r="G179" s="237"/>
      <c r="H179" s="237"/>
      <c r="I179" s="237"/>
      <c r="J179" s="212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  <c r="AA179" s="237"/>
      <c r="AB179" s="237"/>
      <c r="AC179" s="237"/>
    </row>
    <row r="180">
      <c r="A180" s="237"/>
      <c r="B180" s="237"/>
      <c r="C180" s="237"/>
      <c r="D180" s="237"/>
      <c r="E180" s="237"/>
      <c r="F180" s="237"/>
      <c r="G180" s="237"/>
      <c r="H180" s="237"/>
      <c r="I180" s="237"/>
      <c r="J180" s="212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  <c r="AA180" s="237"/>
      <c r="AB180" s="237"/>
      <c r="AC180" s="237"/>
    </row>
    <row r="181">
      <c r="A181" s="237"/>
      <c r="B181" s="237"/>
      <c r="C181" s="237"/>
      <c r="D181" s="237"/>
      <c r="E181" s="237"/>
      <c r="F181" s="237"/>
      <c r="G181" s="237"/>
      <c r="H181" s="237"/>
      <c r="I181" s="237"/>
      <c r="J181" s="212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  <c r="AA181" s="237"/>
      <c r="AB181" s="237"/>
      <c r="AC181" s="237"/>
    </row>
    <row r="182">
      <c r="A182" s="237"/>
      <c r="B182" s="237"/>
      <c r="C182" s="237"/>
      <c r="D182" s="237"/>
      <c r="E182" s="237"/>
      <c r="F182" s="237"/>
      <c r="G182" s="237"/>
      <c r="H182" s="237"/>
      <c r="I182" s="237"/>
      <c r="J182" s="212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  <c r="AA182" s="237"/>
      <c r="AB182" s="237"/>
      <c r="AC182" s="237"/>
    </row>
    <row r="183">
      <c r="A183" s="237"/>
      <c r="B183" s="237"/>
      <c r="C183" s="237"/>
      <c r="D183" s="237"/>
      <c r="E183" s="237"/>
      <c r="F183" s="237"/>
      <c r="G183" s="237"/>
      <c r="H183" s="237"/>
      <c r="I183" s="237"/>
      <c r="J183" s="212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  <c r="AA183" s="237"/>
      <c r="AB183" s="237"/>
      <c r="AC183" s="237"/>
    </row>
    <row r="184">
      <c r="A184" s="237"/>
      <c r="B184" s="237"/>
      <c r="C184" s="237"/>
      <c r="D184" s="237"/>
      <c r="E184" s="237"/>
      <c r="F184" s="237"/>
      <c r="G184" s="237"/>
      <c r="H184" s="237"/>
      <c r="I184" s="237"/>
      <c r="J184" s="212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  <c r="AA184" s="237"/>
      <c r="AB184" s="237"/>
      <c r="AC184" s="237"/>
    </row>
    <row r="185">
      <c r="A185" s="237"/>
      <c r="B185" s="237"/>
      <c r="C185" s="237"/>
      <c r="D185" s="237"/>
      <c r="E185" s="237"/>
      <c r="F185" s="237"/>
      <c r="G185" s="237"/>
      <c r="H185" s="237"/>
      <c r="I185" s="237"/>
      <c r="J185" s="212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  <c r="AA185" s="237"/>
      <c r="AB185" s="237"/>
      <c r="AC185" s="237"/>
    </row>
    <row r="186">
      <c r="A186" s="237"/>
      <c r="B186" s="237"/>
      <c r="C186" s="237"/>
      <c r="D186" s="237"/>
      <c r="E186" s="237"/>
      <c r="F186" s="237"/>
      <c r="G186" s="237"/>
      <c r="H186" s="237"/>
      <c r="I186" s="237"/>
      <c r="J186" s="212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  <c r="AA186" s="237"/>
      <c r="AB186" s="237"/>
      <c r="AC186" s="237"/>
    </row>
    <row r="187">
      <c r="A187" s="237"/>
      <c r="B187" s="237"/>
      <c r="C187" s="237"/>
      <c r="D187" s="237"/>
      <c r="E187" s="237"/>
      <c r="F187" s="237"/>
      <c r="G187" s="237"/>
      <c r="H187" s="237"/>
      <c r="I187" s="237"/>
      <c r="J187" s="212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  <c r="AA187" s="237"/>
      <c r="AB187" s="237"/>
      <c r="AC187" s="237"/>
    </row>
    <row r="188">
      <c r="A188" s="237"/>
      <c r="B188" s="237"/>
      <c r="C188" s="237"/>
      <c r="D188" s="237"/>
      <c r="E188" s="237"/>
      <c r="F188" s="237"/>
      <c r="G188" s="237"/>
      <c r="H188" s="237"/>
      <c r="I188" s="237"/>
      <c r="J188" s="212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  <c r="AA188" s="237"/>
      <c r="AB188" s="237"/>
      <c r="AC188" s="237"/>
    </row>
    <row r="189">
      <c r="A189" s="237"/>
      <c r="B189" s="237"/>
      <c r="C189" s="237"/>
      <c r="D189" s="237"/>
      <c r="E189" s="237"/>
      <c r="F189" s="237"/>
      <c r="G189" s="237"/>
      <c r="H189" s="237"/>
      <c r="I189" s="237"/>
      <c r="J189" s="212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  <c r="AA189" s="237"/>
      <c r="AB189" s="237"/>
      <c r="AC189" s="237"/>
    </row>
    <row r="190">
      <c r="A190" s="237"/>
      <c r="B190" s="237"/>
      <c r="C190" s="237"/>
      <c r="D190" s="237"/>
      <c r="E190" s="237"/>
      <c r="F190" s="237"/>
      <c r="G190" s="237"/>
      <c r="H190" s="237"/>
      <c r="I190" s="237"/>
      <c r="J190" s="212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  <c r="AA190" s="237"/>
      <c r="AB190" s="237"/>
      <c r="AC190" s="237"/>
    </row>
    <row r="191">
      <c r="A191" s="237"/>
      <c r="B191" s="237"/>
      <c r="C191" s="237"/>
      <c r="D191" s="237"/>
      <c r="E191" s="237"/>
      <c r="F191" s="237"/>
      <c r="G191" s="237"/>
      <c r="H191" s="237"/>
      <c r="I191" s="237"/>
      <c r="J191" s="212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  <c r="AA191" s="237"/>
      <c r="AB191" s="237"/>
      <c r="AC191" s="237"/>
    </row>
    <row r="192">
      <c r="A192" s="237"/>
      <c r="B192" s="237"/>
      <c r="C192" s="237"/>
      <c r="D192" s="237"/>
      <c r="E192" s="237"/>
      <c r="F192" s="237"/>
      <c r="G192" s="237"/>
      <c r="H192" s="237"/>
      <c r="I192" s="237"/>
      <c r="J192" s="212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  <c r="AA192" s="237"/>
      <c r="AB192" s="237"/>
      <c r="AC192" s="237"/>
    </row>
    <row r="193">
      <c r="A193" s="237"/>
      <c r="B193" s="237"/>
      <c r="C193" s="237"/>
      <c r="D193" s="237"/>
      <c r="E193" s="237"/>
      <c r="F193" s="237"/>
      <c r="G193" s="237"/>
      <c r="H193" s="237"/>
      <c r="I193" s="237"/>
      <c r="J193" s="212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  <c r="AA193" s="237"/>
      <c r="AB193" s="237"/>
      <c r="AC193" s="237"/>
    </row>
    <row r="194">
      <c r="A194" s="237"/>
      <c r="B194" s="237"/>
      <c r="C194" s="237"/>
      <c r="D194" s="237"/>
      <c r="E194" s="237"/>
      <c r="F194" s="237"/>
      <c r="G194" s="237"/>
      <c r="H194" s="237"/>
      <c r="I194" s="237"/>
      <c r="J194" s="212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  <c r="AA194" s="237"/>
      <c r="AB194" s="237"/>
      <c r="AC194" s="237"/>
    </row>
    <row r="195">
      <c r="A195" s="237"/>
      <c r="B195" s="237"/>
      <c r="C195" s="237"/>
      <c r="D195" s="237"/>
      <c r="E195" s="237"/>
      <c r="F195" s="237"/>
      <c r="G195" s="237"/>
      <c r="H195" s="237"/>
      <c r="I195" s="237"/>
      <c r="J195" s="212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  <c r="AA195" s="237"/>
      <c r="AB195" s="237"/>
      <c r="AC195" s="237"/>
    </row>
    <row r="196">
      <c r="A196" s="237"/>
      <c r="B196" s="237"/>
      <c r="C196" s="237"/>
      <c r="D196" s="237"/>
      <c r="E196" s="237"/>
      <c r="F196" s="237"/>
      <c r="G196" s="237"/>
      <c r="H196" s="237"/>
      <c r="I196" s="237"/>
      <c r="J196" s="212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  <c r="AA196" s="237"/>
      <c r="AB196" s="237"/>
      <c r="AC196" s="237"/>
    </row>
    <row r="197">
      <c r="A197" s="237"/>
      <c r="B197" s="237"/>
      <c r="C197" s="237"/>
      <c r="D197" s="237"/>
      <c r="E197" s="237"/>
      <c r="F197" s="237"/>
      <c r="G197" s="237"/>
      <c r="H197" s="237"/>
      <c r="I197" s="237"/>
      <c r="J197" s="212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  <c r="AA197" s="237"/>
      <c r="AB197" s="237"/>
      <c r="AC197" s="237"/>
    </row>
    <row r="198">
      <c r="A198" s="237"/>
      <c r="B198" s="237"/>
      <c r="C198" s="237"/>
      <c r="D198" s="237"/>
      <c r="E198" s="237"/>
      <c r="F198" s="237"/>
      <c r="G198" s="237"/>
      <c r="H198" s="237"/>
      <c r="I198" s="237"/>
      <c r="J198" s="212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/>
    </row>
    <row r="199">
      <c r="A199" s="237"/>
      <c r="B199" s="237"/>
      <c r="C199" s="237"/>
      <c r="D199" s="237"/>
      <c r="E199" s="237"/>
      <c r="F199" s="237"/>
      <c r="G199" s="237"/>
      <c r="H199" s="237"/>
      <c r="I199" s="237"/>
      <c r="J199" s="212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  <c r="AA199" s="237"/>
      <c r="AB199" s="237"/>
      <c r="AC199" s="237"/>
    </row>
    <row r="200">
      <c r="A200" s="237"/>
      <c r="B200" s="237"/>
      <c r="C200" s="237"/>
      <c r="D200" s="237"/>
      <c r="E200" s="237"/>
      <c r="F200" s="237"/>
      <c r="G200" s="237"/>
      <c r="H200" s="237"/>
      <c r="I200" s="237"/>
      <c r="J200" s="212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  <c r="AA200" s="237"/>
      <c r="AB200" s="237"/>
      <c r="AC200" s="237"/>
    </row>
    <row r="201">
      <c r="A201" s="237"/>
      <c r="B201" s="237"/>
      <c r="C201" s="237"/>
      <c r="D201" s="237"/>
      <c r="E201" s="237"/>
      <c r="F201" s="237"/>
      <c r="G201" s="237"/>
      <c r="H201" s="237"/>
      <c r="I201" s="237"/>
      <c r="J201" s="212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  <c r="AA201" s="237"/>
      <c r="AB201" s="237"/>
      <c r="AC201" s="237"/>
    </row>
    <row r="202">
      <c r="A202" s="237"/>
      <c r="B202" s="237"/>
      <c r="C202" s="237"/>
      <c r="D202" s="237"/>
      <c r="E202" s="237"/>
      <c r="F202" s="237"/>
      <c r="G202" s="237"/>
      <c r="H202" s="237"/>
      <c r="I202" s="237"/>
      <c r="J202" s="212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  <c r="AA202" s="237"/>
      <c r="AB202" s="237"/>
      <c r="AC202" s="237"/>
    </row>
    <row r="203">
      <c r="A203" s="237"/>
      <c r="B203" s="237"/>
      <c r="C203" s="237"/>
      <c r="D203" s="237"/>
      <c r="E203" s="237"/>
      <c r="F203" s="237"/>
      <c r="G203" s="237"/>
      <c r="H203" s="237"/>
      <c r="I203" s="237"/>
      <c r="J203" s="212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  <c r="AA203" s="237"/>
      <c r="AB203" s="237"/>
      <c r="AC203" s="237"/>
    </row>
    <row r="204">
      <c r="A204" s="237"/>
      <c r="B204" s="237"/>
      <c r="C204" s="237"/>
      <c r="D204" s="237"/>
      <c r="E204" s="237"/>
      <c r="F204" s="237"/>
      <c r="G204" s="237"/>
      <c r="H204" s="237"/>
      <c r="I204" s="237"/>
      <c r="J204" s="212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  <c r="AA204" s="237"/>
      <c r="AB204" s="237"/>
      <c r="AC204" s="237"/>
    </row>
    <row r="205">
      <c r="A205" s="237"/>
      <c r="B205" s="237"/>
      <c r="C205" s="237"/>
      <c r="D205" s="237"/>
      <c r="E205" s="237"/>
      <c r="F205" s="237"/>
      <c r="G205" s="237"/>
      <c r="H205" s="237"/>
      <c r="I205" s="237"/>
      <c r="J205" s="212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  <c r="AA205" s="237"/>
      <c r="AB205" s="237"/>
      <c r="AC205" s="237"/>
    </row>
    <row r="206">
      <c r="A206" s="237"/>
      <c r="B206" s="237"/>
      <c r="C206" s="237"/>
      <c r="D206" s="237"/>
      <c r="E206" s="237"/>
      <c r="F206" s="237"/>
      <c r="G206" s="237"/>
      <c r="H206" s="237"/>
      <c r="I206" s="237"/>
      <c r="J206" s="212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  <c r="AA206" s="237"/>
      <c r="AB206" s="237"/>
      <c r="AC206" s="237"/>
    </row>
    <row r="207">
      <c r="A207" s="237"/>
      <c r="B207" s="237"/>
      <c r="C207" s="237"/>
      <c r="D207" s="237"/>
      <c r="E207" s="237"/>
      <c r="F207" s="237"/>
      <c r="G207" s="237"/>
      <c r="H207" s="237"/>
      <c r="I207" s="237"/>
      <c r="J207" s="212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  <c r="AA207" s="237"/>
      <c r="AB207" s="237"/>
      <c r="AC207" s="237"/>
    </row>
    <row r="208">
      <c r="A208" s="237"/>
      <c r="B208" s="237"/>
      <c r="C208" s="237"/>
      <c r="D208" s="237"/>
      <c r="E208" s="237"/>
      <c r="F208" s="237"/>
      <c r="G208" s="237"/>
      <c r="H208" s="237"/>
      <c r="I208" s="237"/>
      <c r="J208" s="212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  <c r="AA208" s="237"/>
      <c r="AB208" s="237"/>
      <c r="AC208" s="237"/>
    </row>
    <row r="209">
      <c r="A209" s="237"/>
      <c r="B209" s="237"/>
      <c r="C209" s="237"/>
      <c r="D209" s="237"/>
      <c r="E209" s="237"/>
      <c r="F209" s="237"/>
      <c r="G209" s="237"/>
      <c r="H209" s="237"/>
      <c r="I209" s="237"/>
      <c r="J209" s="212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</row>
    <row r="210">
      <c r="A210" s="237"/>
      <c r="B210" s="237"/>
      <c r="C210" s="237"/>
      <c r="D210" s="237"/>
      <c r="E210" s="237"/>
      <c r="F210" s="237"/>
      <c r="G210" s="237"/>
      <c r="H210" s="237"/>
      <c r="I210" s="237"/>
      <c r="J210" s="212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  <c r="AA210" s="237"/>
      <c r="AB210" s="237"/>
      <c r="AC210" s="237"/>
    </row>
    <row r="211">
      <c r="A211" s="237"/>
      <c r="B211" s="237"/>
      <c r="C211" s="237"/>
      <c r="D211" s="237"/>
      <c r="E211" s="237"/>
      <c r="F211" s="237"/>
      <c r="G211" s="237"/>
      <c r="H211" s="237"/>
      <c r="I211" s="237"/>
      <c r="J211" s="212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  <c r="AA211" s="237"/>
      <c r="AB211" s="237"/>
      <c r="AC211" s="237"/>
    </row>
    <row r="212">
      <c r="A212" s="237"/>
      <c r="B212" s="237"/>
      <c r="C212" s="237"/>
      <c r="D212" s="237"/>
      <c r="E212" s="237"/>
      <c r="F212" s="237"/>
      <c r="G212" s="237"/>
      <c r="H212" s="237"/>
      <c r="I212" s="237"/>
      <c r="J212" s="212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  <c r="AA212" s="237"/>
      <c r="AB212" s="237"/>
      <c r="AC212" s="237"/>
    </row>
    <row r="213">
      <c r="A213" s="237"/>
      <c r="B213" s="237"/>
      <c r="C213" s="237"/>
      <c r="D213" s="237"/>
      <c r="E213" s="237"/>
      <c r="F213" s="237"/>
      <c r="G213" s="237"/>
      <c r="H213" s="237"/>
      <c r="I213" s="237"/>
      <c r="J213" s="212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  <c r="AA213" s="237"/>
      <c r="AB213" s="237"/>
      <c r="AC213" s="237"/>
    </row>
    <row r="214">
      <c r="A214" s="237"/>
      <c r="B214" s="237"/>
      <c r="C214" s="237"/>
      <c r="D214" s="237"/>
      <c r="E214" s="237"/>
      <c r="F214" s="237"/>
      <c r="G214" s="237"/>
      <c r="H214" s="237"/>
      <c r="I214" s="237"/>
      <c r="J214" s="212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  <c r="AA214" s="237"/>
      <c r="AB214" s="237"/>
      <c r="AC214" s="237"/>
    </row>
    <row r="215">
      <c r="A215" s="237"/>
      <c r="B215" s="237"/>
      <c r="C215" s="237"/>
      <c r="D215" s="237"/>
      <c r="E215" s="237"/>
      <c r="F215" s="237"/>
      <c r="G215" s="237"/>
      <c r="H215" s="237"/>
      <c r="I215" s="237"/>
      <c r="J215" s="212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  <c r="AA215" s="237"/>
      <c r="AB215" s="237"/>
      <c r="AC215" s="237"/>
    </row>
    <row r="216">
      <c r="A216" s="237"/>
      <c r="B216" s="237"/>
      <c r="C216" s="237"/>
      <c r="D216" s="237"/>
      <c r="E216" s="237"/>
      <c r="F216" s="237"/>
      <c r="G216" s="237"/>
      <c r="H216" s="237"/>
      <c r="I216" s="237"/>
      <c r="J216" s="212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  <c r="AA216" s="237"/>
      <c r="AB216" s="237"/>
      <c r="AC216" s="237"/>
    </row>
    <row r="217">
      <c r="A217" s="237"/>
      <c r="B217" s="237"/>
      <c r="C217" s="237"/>
      <c r="D217" s="237"/>
      <c r="E217" s="237"/>
      <c r="F217" s="237"/>
      <c r="G217" s="237"/>
      <c r="H217" s="237"/>
      <c r="I217" s="237"/>
      <c r="J217" s="212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  <c r="AA217" s="237"/>
      <c r="AB217" s="237"/>
      <c r="AC217" s="237"/>
    </row>
    <row r="218">
      <c r="A218" s="237"/>
      <c r="B218" s="237"/>
      <c r="C218" s="237"/>
      <c r="D218" s="237"/>
      <c r="E218" s="237"/>
      <c r="F218" s="237"/>
      <c r="G218" s="237"/>
      <c r="H218" s="237"/>
      <c r="I218" s="237"/>
      <c r="J218" s="212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  <c r="AA218" s="237"/>
      <c r="AB218" s="237"/>
      <c r="AC218" s="237"/>
    </row>
    <row r="219">
      <c r="A219" s="237"/>
      <c r="B219" s="237"/>
      <c r="C219" s="237"/>
      <c r="D219" s="237"/>
      <c r="E219" s="237"/>
      <c r="F219" s="237"/>
      <c r="G219" s="237"/>
      <c r="H219" s="237"/>
      <c r="I219" s="237"/>
      <c r="J219" s="212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  <c r="AA219" s="237"/>
      <c r="AB219" s="237"/>
      <c r="AC219" s="237"/>
    </row>
    <row r="220">
      <c r="A220" s="237"/>
      <c r="B220" s="237"/>
      <c r="C220" s="237"/>
      <c r="D220" s="237"/>
      <c r="E220" s="237"/>
      <c r="F220" s="237"/>
      <c r="G220" s="237"/>
      <c r="H220" s="237"/>
      <c r="I220" s="237"/>
      <c r="J220" s="212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  <c r="AA220" s="237"/>
      <c r="AB220" s="237"/>
      <c r="AC220" s="237"/>
    </row>
    <row r="221">
      <c r="A221" s="237"/>
      <c r="B221" s="237"/>
      <c r="C221" s="237"/>
      <c r="D221" s="237"/>
      <c r="E221" s="237"/>
      <c r="F221" s="237"/>
      <c r="G221" s="237"/>
      <c r="H221" s="237"/>
      <c r="I221" s="237"/>
      <c r="J221" s="212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  <c r="AA221" s="237"/>
      <c r="AB221" s="237"/>
      <c r="AC221" s="237"/>
    </row>
    <row r="222">
      <c r="A222" s="237"/>
      <c r="B222" s="237"/>
      <c r="C222" s="237"/>
      <c r="D222" s="237"/>
      <c r="E222" s="237"/>
      <c r="F222" s="237"/>
      <c r="G222" s="237"/>
      <c r="H222" s="237"/>
      <c r="I222" s="237"/>
      <c r="J222" s="212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  <c r="AA222" s="237"/>
      <c r="AB222" s="237"/>
      <c r="AC222" s="237"/>
    </row>
    <row r="223">
      <c r="A223" s="237"/>
      <c r="B223" s="237"/>
      <c r="C223" s="237"/>
      <c r="D223" s="237"/>
      <c r="E223" s="237"/>
      <c r="F223" s="237"/>
      <c r="G223" s="237"/>
      <c r="H223" s="237"/>
      <c r="I223" s="237"/>
      <c r="J223" s="212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  <c r="AA223" s="237"/>
      <c r="AB223" s="237"/>
      <c r="AC223" s="237"/>
    </row>
    <row r="224">
      <c r="A224" s="237"/>
      <c r="B224" s="237"/>
      <c r="C224" s="237"/>
      <c r="D224" s="237"/>
      <c r="E224" s="237"/>
      <c r="F224" s="237"/>
      <c r="G224" s="237"/>
      <c r="H224" s="237"/>
      <c r="I224" s="237"/>
      <c r="J224" s="212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  <c r="AA224" s="237"/>
      <c r="AB224" s="237"/>
      <c r="AC224" s="237"/>
    </row>
    <row r="225">
      <c r="A225" s="237"/>
      <c r="B225" s="237"/>
      <c r="C225" s="237"/>
      <c r="D225" s="237"/>
      <c r="E225" s="237"/>
      <c r="F225" s="237"/>
      <c r="G225" s="237"/>
      <c r="H225" s="237"/>
      <c r="I225" s="237"/>
      <c r="J225" s="212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  <c r="AA225" s="237"/>
      <c r="AB225" s="237"/>
      <c r="AC225" s="237"/>
    </row>
    <row r="226">
      <c r="A226" s="237"/>
      <c r="B226" s="237"/>
      <c r="C226" s="237"/>
      <c r="D226" s="237"/>
      <c r="E226" s="237"/>
      <c r="F226" s="237"/>
      <c r="G226" s="237"/>
      <c r="H226" s="237"/>
      <c r="I226" s="237"/>
      <c r="J226" s="212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  <c r="AA226" s="237"/>
      <c r="AB226" s="237"/>
      <c r="AC226" s="237"/>
    </row>
    <row r="227">
      <c r="A227" s="237"/>
      <c r="B227" s="237"/>
      <c r="C227" s="237"/>
      <c r="D227" s="237"/>
      <c r="E227" s="237"/>
      <c r="F227" s="237"/>
      <c r="G227" s="237"/>
      <c r="H227" s="237"/>
      <c r="I227" s="237"/>
      <c r="J227" s="212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  <c r="AA227" s="237"/>
      <c r="AB227" s="237"/>
      <c r="AC227" s="237"/>
    </row>
    <row r="228">
      <c r="A228" s="237"/>
      <c r="B228" s="237"/>
      <c r="C228" s="237"/>
      <c r="D228" s="237"/>
      <c r="E228" s="237"/>
      <c r="F228" s="237"/>
      <c r="G228" s="237"/>
      <c r="H228" s="237"/>
      <c r="I228" s="237"/>
      <c r="J228" s="212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  <c r="AA228" s="237"/>
      <c r="AB228" s="237"/>
      <c r="AC228" s="237"/>
    </row>
    <row r="229">
      <c r="A229" s="237"/>
      <c r="B229" s="237"/>
      <c r="C229" s="237"/>
      <c r="D229" s="237"/>
      <c r="E229" s="237"/>
      <c r="F229" s="237"/>
      <c r="G229" s="237"/>
      <c r="H229" s="237"/>
      <c r="I229" s="237"/>
      <c r="J229" s="212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  <c r="AA229" s="237"/>
      <c r="AB229" s="237"/>
      <c r="AC229" s="237"/>
    </row>
    <row r="230">
      <c r="A230" s="237"/>
      <c r="B230" s="237"/>
      <c r="C230" s="237"/>
      <c r="D230" s="237"/>
      <c r="E230" s="237"/>
      <c r="F230" s="237"/>
      <c r="G230" s="237"/>
      <c r="H230" s="237"/>
      <c r="I230" s="237"/>
      <c r="J230" s="212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  <c r="AA230" s="237"/>
      <c r="AB230" s="237"/>
      <c r="AC230" s="237"/>
    </row>
    <row r="231">
      <c r="A231" s="237"/>
      <c r="B231" s="237"/>
      <c r="C231" s="237"/>
      <c r="D231" s="237"/>
      <c r="E231" s="237"/>
      <c r="F231" s="237"/>
      <c r="G231" s="237"/>
      <c r="H231" s="237"/>
      <c r="I231" s="237"/>
      <c r="J231" s="212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  <c r="AA231" s="237"/>
      <c r="AB231" s="237"/>
      <c r="AC231" s="237"/>
    </row>
    <row r="232">
      <c r="A232" s="237"/>
      <c r="B232" s="237"/>
      <c r="C232" s="237"/>
      <c r="D232" s="237"/>
      <c r="E232" s="237"/>
      <c r="F232" s="237"/>
      <c r="G232" s="237"/>
      <c r="H232" s="237"/>
      <c r="I232" s="237"/>
      <c r="J232" s="212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  <c r="AA232" s="237"/>
      <c r="AB232" s="237"/>
      <c r="AC232" s="237"/>
    </row>
    <row r="233">
      <c r="A233" s="237"/>
      <c r="B233" s="237"/>
      <c r="C233" s="237"/>
      <c r="D233" s="237"/>
      <c r="E233" s="237"/>
      <c r="F233" s="237"/>
      <c r="G233" s="237"/>
      <c r="H233" s="237"/>
      <c r="I233" s="237"/>
      <c r="J233" s="212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  <c r="AA233" s="237"/>
      <c r="AB233" s="237"/>
      <c r="AC233" s="237"/>
    </row>
    <row r="234">
      <c r="A234" s="237"/>
      <c r="B234" s="237"/>
      <c r="C234" s="237"/>
      <c r="D234" s="237"/>
      <c r="E234" s="237"/>
      <c r="F234" s="237"/>
      <c r="G234" s="237"/>
      <c r="H234" s="237"/>
      <c r="I234" s="237"/>
      <c r="J234" s="212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  <c r="AA234" s="237"/>
      <c r="AB234" s="237"/>
      <c r="AC234" s="237"/>
    </row>
    <row r="235">
      <c r="A235" s="237"/>
      <c r="B235" s="237"/>
      <c r="C235" s="237"/>
      <c r="D235" s="237"/>
      <c r="E235" s="237"/>
      <c r="F235" s="237"/>
      <c r="G235" s="237"/>
      <c r="H235" s="237"/>
      <c r="I235" s="237"/>
      <c r="J235" s="212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  <c r="AA235" s="237"/>
      <c r="AB235" s="237"/>
      <c r="AC235" s="237"/>
    </row>
    <row r="236">
      <c r="A236" s="237"/>
      <c r="B236" s="237"/>
      <c r="C236" s="237"/>
      <c r="D236" s="237"/>
      <c r="E236" s="237"/>
      <c r="F236" s="237"/>
      <c r="G236" s="237"/>
      <c r="H236" s="237"/>
      <c r="I236" s="237"/>
      <c r="J236" s="212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  <c r="AA236" s="237"/>
      <c r="AB236" s="237"/>
      <c r="AC236" s="237"/>
    </row>
    <row r="237">
      <c r="A237" s="237"/>
      <c r="B237" s="237"/>
      <c r="C237" s="237"/>
      <c r="D237" s="237"/>
      <c r="E237" s="237"/>
      <c r="F237" s="237"/>
      <c r="G237" s="237"/>
      <c r="H237" s="237"/>
      <c r="I237" s="237"/>
      <c r="J237" s="212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  <c r="AA237" s="237"/>
      <c r="AB237" s="237"/>
      <c r="AC237" s="237"/>
    </row>
    <row r="238">
      <c r="A238" s="237"/>
      <c r="B238" s="237"/>
      <c r="C238" s="237"/>
      <c r="D238" s="237"/>
      <c r="E238" s="237"/>
      <c r="F238" s="237"/>
      <c r="G238" s="237"/>
      <c r="H238" s="237"/>
      <c r="I238" s="237"/>
      <c r="J238" s="212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  <c r="AA238" s="237"/>
      <c r="AB238" s="237"/>
      <c r="AC238" s="237"/>
    </row>
    <row r="239">
      <c r="A239" s="237"/>
      <c r="B239" s="237"/>
      <c r="C239" s="237"/>
      <c r="D239" s="237"/>
      <c r="E239" s="237"/>
      <c r="F239" s="237"/>
      <c r="G239" s="237"/>
      <c r="H239" s="237"/>
      <c r="I239" s="237"/>
      <c r="J239" s="212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  <c r="AA239" s="237"/>
      <c r="AB239" s="237"/>
      <c r="AC239" s="237"/>
    </row>
    <row r="240">
      <c r="A240" s="237"/>
      <c r="B240" s="237"/>
      <c r="C240" s="237"/>
      <c r="D240" s="237"/>
      <c r="E240" s="237"/>
      <c r="F240" s="237"/>
      <c r="G240" s="237"/>
      <c r="H240" s="237"/>
      <c r="I240" s="237"/>
      <c r="J240" s="212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  <c r="AA240" s="237"/>
      <c r="AB240" s="237"/>
      <c r="AC240" s="237"/>
    </row>
    <row r="241">
      <c r="A241" s="237"/>
      <c r="B241" s="237"/>
      <c r="C241" s="237"/>
      <c r="D241" s="237"/>
      <c r="E241" s="237"/>
      <c r="F241" s="237"/>
      <c r="G241" s="237"/>
      <c r="H241" s="237"/>
      <c r="I241" s="237"/>
      <c r="J241" s="212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  <c r="AA241" s="237"/>
      <c r="AB241" s="237"/>
      <c r="AC241" s="237"/>
    </row>
    <row r="242">
      <c r="A242" s="237"/>
      <c r="B242" s="237"/>
      <c r="C242" s="237"/>
      <c r="D242" s="237"/>
      <c r="E242" s="237"/>
      <c r="F242" s="237"/>
      <c r="G242" s="237"/>
      <c r="H242" s="237"/>
      <c r="I242" s="237"/>
      <c r="J242" s="212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  <c r="AA242" s="237"/>
      <c r="AB242" s="237"/>
      <c r="AC242" s="237"/>
    </row>
    <row r="243">
      <c r="A243" s="237"/>
      <c r="B243" s="237"/>
      <c r="C243" s="237"/>
      <c r="D243" s="237"/>
      <c r="E243" s="237"/>
      <c r="F243" s="237"/>
      <c r="G243" s="237"/>
      <c r="H243" s="237"/>
      <c r="I243" s="237"/>
      <c r="J243" s="212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  <c r="AA243" s="237"/>
      <c r="AB243" s="237"/>
      <c r="AC243" s="237"/>
    </row>
    <row r="244">
      <c r="A244" s="237"/>
      <c r="B244" s="237"/>
      <c r="C244" s="237"/>
      <c r="D244" s="237"/>
      <c r="E244" s="237"/>
      <c r="F244" s="237"/>
      <c r="G244" s="237"/>
      <c r="H244" s="237"/>
      <c r="I244" s="237"/>
      <c r="J244" s="212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  <c r="AA244" s="237"/>
      <c r="AB244" s="237"/>
      <c r="AC244" s="237"/>
    </row>
    <row r="245">
      <c r="A245" s="237"/>
      <c r="B245" s="237"/>
      <c r="C245" s="237"/>
      <c r="D245" s="237"/>
      <c r="E245" s="237"/>
      <c r="F245" s="237"/>
      <c r="G245" s="237"/>
      <c r="H245" s="237"/>
      <c r="I245" s="237"/>
      <c r="J245" s="212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  <c r="AA245" s="237"/>
      <c r="AB245" s="237"/>
      <c r="AC245" s="237"/>
    </row>
    <row r="246">
      <c r="A246" s="237"/>
      <c r="B246" s="237"/>
      <c r="C246" s="237"/>
      <c r="D246" s="237"/>
      <c r="E246" s="237"/>
      <c r="F246" s="237"/>
      <c r="G246" s="237"/>
      <c r="H246" s="237"/>
      <c r="I246" s="237"/>
      <c r="J246" s="212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  <c r="AA246" s="237"/>
      <c r="AB246" s="237"/>
      <c r="AC246" s="237"/>
    </row>
    <row r="247">
      <c r="A247" s="237"/>
      <c r="B247" s="237"/>
      <c r="C247" s="237"/>
      <c r="D247" s="237"/>
      <c r="E247" s="237"/>
      <c r="F247" s="237"/>
      <c r="G247" s="237"/>
      <c r="H247" s="237"/>
      <c r="I247" s="237"/>
      <c r="J247" s="212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  <c r="AA247" s="237"/>
      <c r="AB247" s="237"/>
      <c r="AC247" s="237"/>
    </row>
    <row r="248">
      <c r="A248" s="237"/>
      <c r="B248" s="237"/>
      <c r="C248" s="237"/>
      <c r="D248" s="237"/>
      <c r="E248" s="237"/>
      <c r="F248" s="237"/>
      <c r="G248" s="237"/>
      <c r="H248" s="237"/>
      <c r="I248" s="237"/>
      <c r="J248" s="212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  <c r="AA248" s="237"/>
      <c r="AB248" s="237"/>
      <c r="AC248" s="237"/>
    </row>
    <row r="249">
      <c r="A249" s="237"/>
      <c r="B249" s="237"/>
      <c r="C249" s="237"/>
      <c r="D249" s="237"/>
      <c r="E249" s="237"/>
      <c r="F249" s="237"/>
      <c r="G249" s="237"/>
      <c r="H249" s="237"/>
      <c r="I249" s="237"/>
      <c r="J249" s="212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  <c r="AA249" s="237"/>
      <c r="AB249" s="237"/>
      <c r="AC249" s="237"/>
    </row>
    <row r="250">
      <c r="A250" s="237"/>
      <c r="B250" s="237"/>
      <c r="C250" s="237"/>
      <c r="D250" s="237"/>
      <c r="E250" s="237"/>
      <c r="F250" s="237"/>
      <c r="G250" s="237"/>
      <c r="H250" s="237"/>
      <c r="I250" s="237"/>
      <c r="J250" s="212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  <c r="AA250" s="237"/>
      <c r="AB250" s="237"/>
      <c r="AC250" s="237"/>
    </row>
    <row r="251">
      <c r="A251" s="237"/>
      <c r="B251" s="237"/>
      <c r="C251" s="237"/>
      <c r="D251" s="237"/>
      <c r="E251" s="237"/>
      <c r="F251" s="237"/>
      <c r="G251" s="237"/>
      <c r="H251" s="237"/>
      <c r="I251" s="237"/>
      <c r="J251" s="212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  <c r="AA251" s="237"/>
      <c r="AB251" s="237"/>
      <c r="AC251" s="237"/>
    </row>
    <row r="252">
      <c r="A252" s="237"/>
      <c r="B252" s="237"/>
      <c r="C252" s="237"/>
      <c r="D252" s="237"/>
      <c r="E252" s="237"/>
      <c r="F252" s="237"/>
      <c r="G252" s="237"/>
      <c r="H252" s="237"/>
      <c r="I252" s="237"/>
      <c r="J252" s="212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  <c r="AA252" s="237"/>
      <c r="AB252" s="237"/>
      <c r="AC252" s="237"/>
    </row>
    <row r="253">
      <c r="A253" s="237"/>
      <c r="B253" s="237"/>
      <c r="C253" s="237"/>
      <c r="D253" s="237"/>
      <c r="E253" s="237"/>
      <c r="F253" s="237"/>
      <c r="G253" s="237"/>
      <c r="H253" s="237"/>
      <c r="I253" s="237"/>
      <c r="J253" s="212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  <c r="AA253" s="237"/>
      <c r="AB253" s="237"/>
      <c r="AC253" s="237"/>
    </row>
    <row r="254">
      <c r="A254" s="237"/>
      <c r="B254" s="237"/>
      <c r="C254" s="237"/>
      <c r="D254" s="237"/>
      <c r="E254" s="237"/>
      <c r="F254" s="237"/>
      <c r="G254" s="237"/>
      <c r="H254" s="237"/>
      <c r="I254" s="237"/>
      <c r="J254" s="212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  <c r="AA254" s="237"/>
      <c r="AB254" s="237"/>
      <c r="AC254" s="237"/>
    </row>
    <row r="255">
      <c r="A255" s="237"/>
      <c r="B255" s="237"/>
      <c r="C255" s="237"/>
      <c r="D255" s="237"/>
      <c r="E255" s="237"/>
      <c r="F255" s="237"/>
      <c r="G255" s="237"/>
      <c r="H255" s="237"/>
      <c r="I255" s="237"/>
      <c r="J255" s="212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  <c r="AA255" s="237"/>
      <c r="AB255" s="237"/>
      <c r="AC255" s="237"/>
    </row>
    <row r="256">
      <c r="A256" s="237"/>
      <c r="B256" s="237"/>
      <c r="C256" s="237"/>
      <c r="D256" s="237"/>
      <c r="E256" s="237"/>
      <c r="F256" s="237"/>
      <c r="G256" s="237"/>
      <c r="H256" s="237"/>
      <c r="I256" s="237"/>
      <c r="J256" s="212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  <c r="AA256" s="237"/>
      <c r="AB256" s="237"/>
      <c r="AC256" s="237"/>
    </row>
    <row r="257">
      <c r="A257" s="237"/>
      <c r="B257" s="237"/>
      <c r="C257" s="237"/>
      <c r="D257" s="237"/>
      <c r="E257" s="237"/>
      <c r="F257" s="237"/>
      <c r="G257" s="237"/>
      <c r="H257" s="237"/>
      <c r="I257" s="237"/>
      <c r="J257" s="212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  <c r="AA257" s="237"/>
      <c r="AB257" s="237"/>
      <c r="AC257" s="237"/>
    </row>
    <row r="258">
      <c r="A258" s="237"/>
      <c r="B258" s="237"/>
      <c r="C258" s="237"/>
      <c r="D258" s="237"/>
      <c r="E258" s="237"/>
      <c r="F258" s="237"/>
      <c r="G258" s="237"/>
      <c r="H258" s="237"/>
      <c r="I258" s="237"/>
      <c r="J258" s="212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  <c r="AA258" s="237"/>
      <c r="AB258" s="237"/>
      <c r="AC258" s="237"/>
    </row>
    <row r="259">
      <c r="A259" s="237"/>
      <c r="B259" s="237"/>
      <c r="C259" s="237"/>
      <c r="D259" s="237"/>
      <c r="E259" s="237"/>
      <c r="F259" s="237"/>
      <c r="G259" s="237"/>
      <c r="H259" s="237"/>
      <c r="I259" s="237"/>
      <c r="J259" s="212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  <c r="AA259" s="237"/>
      <c r="AB259" s="237"/>
      <c r="AC259" s="237"/>
    </row>
    <row r="260">
      <c r="A260" s="237"/>
      <c r="B260" s="237"/>
      <c r="C260" s="237"/>
      <c r="D260" s="237"/>
      <c r="E260" s="237"/>
      <c r="F260" s="237"/>
      <c r="G260" s="237"/>
      <c r="H260" s="237"/>
      <c r="I260" s="237"/>
      <c r="J260" s="212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  <c r="AA260" s="237"/>
      <c r="AB260" s="237"/>
      <c r="AC260" s="237"/>
    </row>
    <row r="261">
      <c r="A261" s="237"/>
      <c r="B261" s="237"/>
      <c r="C261" s="237"/>
      <c r="D261" s="237"/>
      <c r="E261" s="237"/>
      <c r="F261" s="237"/>
      <c r="G261" s="237"/>
      <c r="H261" s="237"/>
      <c r="I261" s="237"/>
      <c r="J261" s="212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  <c r="AA261" s="237"/>
      <c r="AB261" s="237"/>
      <c r="AC261" s="237"/>
    </row>
    <row r="262">
      <c r="A262" s="237"/>
      <c r="B262" s="237"/>
      <c r="C262" s="237"/>
      <c r="D262" s="237"/>
      <c r="E262" s="237"/>
      <c r="F262" s="237"/>
      <c r="G262" s="237"/>
      <c r="H262" s="237"/>
      <c r="I262" s="237"/>
      <c r="J262" s="212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  <c r="AA262" s="237"/>
      <c r="AB262" s="237"/>
      <c r="AC262" s="237"/>
    </row>
    <row r="263">
      <c r="A263" s="237"/>
      <c r="B263" s="237"/>
      <c r="C263" s="237"/>
      <c r="D263" s="237"/>
      <c r="E263" s="237"/>
      <c r="F263" s="237"/>
      <c r="G263" s="237"/>
      <c r="H263" s="237"/>
      <c r="I263" s="237"/>
      <c r="J263" s="212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  <c r="AA263" s="237"/>
      <c r="AB263" s="237"/>
      <c r="AC263" s="237"/>
    </row>
    <row r="264">
      <c r="A264" s="237"/>
      <c r="B264" s="237"/>
      <c r="C264" s="237"/>
      <c r="D264" s="237"/>
      <c r="E264" s="237"/>
      <c r="F264" s="237"/>
      <c r="G264" s="237"/>
      <c r="H264" s="237"/>
      <c r="I264" s="237"/>
      <c r="J264" s="212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  <c r="AA264" s="237"/>
      <c r="AB264" s="237"/>
      <c r="AC264" s="237"/>
    </row>
    <row r="265">
      <c r="A265" s="237"/>
      <c r="B265" s="237"/>
      <c r="C265" s="237"/>
      <c r="D265" s="237"/>
      <c r="E265" s="237"/>
      <c r="F265" s="237"/>
      <c r="G265" s="237"/>
      <c r="H265" s="237"/>
      <c r="I265" s="237"/>
      <c r="J265" s="212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  <c r="AA265" s="237"/>
      <c r="AB265" s="237"/>
      <c r="AC265" s="237"/>
    </row>
    <row r="266">
      <c r="A266" s="237"/>
      <c r="B266" s="237"/>
      <c r="C266" s="237"/>
      <c r="D266" s="237"/>
      <c r="E266" s="237"/>
      <c r="F266" s="237"/>
      <c r="G266" s="237"/>
      <c r="H266" s="237"/>
      <c r="I266" s="237"/>
      <c r="J266" s="212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  <c r="AA266" s="237"/>
      <c r="AB266" s="237"/>
      <c r="AC266" s="237"/>
    </row>
    <row r="267">
      <c r="A267" s="237"/>
      <c r="B267" s="237"/>
      <c r="C267" s="237"/>
      <c r="D267" s="237"/>
      <c r="E267" s="237"/>
      <c r="F267" s="237"/>
      <c r="G267" s="237"/>
      <c r="H267" s="237"/>
      <c r="I267" s="237"/>
      <c r="J267" s="212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  <c r="AA267" s="237"/>
      <c r="AB267" s="237"/>
      <c r="AC267" s="237"/>
    </row>
    <row r="268">
      <c r="A268" s="237"/>
      <c r="B268" s="237"/>
      <c r="C268" s="237"/>
      <c r="D268" s="237"/>
      <c r="E268" s="237"/>
      <c r="F268" s="237"/>
      <c r="G268" s="237"/>
      <c r="H268" s="237"/>
      <c r="I268" s="237"/>
      <c r="J268" s="212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  <c r="AA268" s="237"/>
      <c r="AB268" s="237"/>
      <c r="AC268" s="237"/>
    </row>
    <row r="269">
      <c r="A269" s="237"/>
      <c r="B269" s="237"/>
      <c r="C269" s="237"/>
      <c r="D269" s="237"/>
      <c r="E269" s="237"/>
      <c r="F269" s="237"/>
      <c r="G269" s="237"/>
      <c r="H269" s="237"/>
      <c r="I269" s="237"/>
      <c r="J269" s="212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  <c r="AA269" s="237"/>
      <c r="AB269" s="237"/>
      <c r="AC269" s="237"/>
    </row>
    <row r="270">
      <c r="A270" s="237"/>
      <c r="B270" s="237"/>
      <c r="C270" s="237"/>
      <c r="D270" s="237"/>
      <c r="E270" s="237"/>
      <c r="F270" s="237"/>
      <c r="G270" s="237"/>
      <c r="H270" s="237"/>
      <c r="I270" s="237"/>
      <c r="J270" s="212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  <c r="AA270" s="237"/>
      <c r="AB270" s="237"/>
      <c r="AC270" s="237"/>
    </row>
    <row r="271">
      <c r="A271" s="237"/>
      <c r="B271" s="237"/>
      <c r="C271" s="237"/>
      <c r="D271" s="237"/>
      <c r="E271" s="237"/>
      <c r="F271" s="237"/>
      <c r="G271" s="237"/>
      <c r="H271" s="237"/>
      <c r="I271" s="237"/>
      <c r="J271" s="212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  <c r="AA271" s="237"/>
      <c r="AB271" s="237"/>
      <c r="AC271" s="237"/>
    </row>
    <row r="272">
      <c r="A272" s="237"/>
      <c r="B272" s="237"/>
      <c r="C272" s="237"/>
      <c r="D272" s="237"/>
      <c r="E272" s="237"/>
      <c r="F272" s="237"/>
      <c r="G272" s="237"/>
      <c r="H272" s="237"/>
      <c r="I272" s="237"/>
      <c r="J272" s="212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  <c r="AA272" s="237"/>
      <c r="AB272" s="237"/>
      <c r="AC272" s="237"/>
    </row>
    <row r="273">
      <c r="A273" s="237"/>
      <c r="B273" s="237"/>
      <c r="C273" s="237"/>
      <c r="D273" s="237"/>
      <c r="E273" s="237"/>
      <c r="F273" s="237"/>
      <c r="G273" s="237"/>
      <c r="H273" s="237"/>
      <c r="I273" s="237"/>
      <c r="J273" s="212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  <c r="AA273" s="237"/>
      <c r="AB273" s="237"/>
      <c r="AC273" s="237"/>
    </row>
    <row r="274">
      <c r="A274" s="237"/>
      <c r="B274" s="237"/>
      <c r="C274" s="237"/>
      <c r="D274" s="237"/>
      <c r="E274" s="237"/>
      <c r="F274" s="237"/>
      <c r="G274" s="237"/>
      <c r="H274" s="237"/>
      <c r="I274" s="237"/>
      <c r="J274" s="212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  <c r="AA274" s="237"/>
      <c r="AB274" s="237"/>
      <c r="AC274" s="237"/>
    </row>
    <row r="275">
      <c r="A275" s="237"/>
      <c r="B275" s="237"/>
      <c r="C275" s="237"/>
      <c r="D275" s="237"/>
      <c r="E275" s="237"/>
      <c r="F275" s="237"/>
      <c r="G275" s="237"/>
      <c r="H275" s="237"/>
      <c r="I275" s="237"/>
      <c r="J275" s="212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  <c r="AA275" s="237"/>
      <c r="AB275" s="237"/>
      <c r="AC275" s="237"/>
    </row>
    <row r="276">
      <c r="A276" s="237"/>
      <c r="B276" s="237"/>
      <c r="C276" s="237"/>
      <c r="D276" s="237"/>
      <c r="E276" s="237"/>
      <c r="F276" s="237"/>
      <c r="G276" s="237"/>
      <c r="H276" s="237"/>
      <c r="I276" s="237"/>
      <c r="J276" s="212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  <c r="AC276" s="237"/>
    </row>
    <row r="277">
      <c r="A277" s="237"/>
      <c r="B277" s="237"/>
      <c r="C277" s="237"/>
      <c r="D277" s="237"/>
      <c r="E277" s="237"/>
      <c r="F277" s="237"/>
      <c r="G277" s="237"/>
      <c r="H277" s="237"/>
      <c r="I277" s="237"/>
      <c r="J277" s="212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  <c r="AA277" s="237"/>
      <c r="AB277" s="237"/>
      <c r="AC277" s="237"/>
    </row>
    <row r="278">
      <c r="A278" s="237"/>
      <c r="B278" s="237"/>
      <c r="C278" s="237"/>
      <c r="D278" s="237"/>
      <c r="E278" s="237"/>
      <c r="F278" s="237"/>
      <c r="G278" s="237"/>
      <c r="H278" s="237"/>
      <c r="I278" s="237"/>
      <c r="J278" s="212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  <c r="AA278" s="237"/>
      <c r="AB278" s="237"/>
      <c r="AC278" s="237"/>
    </row>
    <row r="279">
      <c r="A279" s="237"/>
      <c r="B279" s="237"/>
      <c r="C279" s="237"/>
      <c r="D279" s="237"/>
      <c r="E279" s="237"/>
      <c r="F279" s="237"/>
      <c r="G279" s="237"/>
      <c r="H279" s="237"/>
      <c r="I279" s="237"/>
      <c r="J279" s="212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  <c r="AA279" s="237"/>
      <c r="AB279" s="237"/>
      <c r="AC279" s="237"/>
    </row>
    <row r="280">
      <c r="A280" s="237"/>
      <c r="B280" s="237"/>
      <c r="C280" s="237"/>
      <c r="D280" s="237"/>
      <c r="E280" s="237"/>
      <c r="F280" s="237"/>
      <c r="G280" s="237"/>
      <c r="H280" s="237"/>
      <c r="I280" s="237"/>
      <c r="J280" s="212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  <c r="AA280" s="237"/>
      <c r="AB280" s="237"/>
      <c r="AC280" s="237"/>
    </row>
    <row r="281">
      <c r="A281" s="237"/>
      <c r="B281" s="237"/>
      <c r="C281" s="237"/>
      <c r="D281" s="237"/>
      <c r="E281" s="237"/>
      <c r="F281" s="237"/>
      <c r="G281" s="237"/>
      <c r="H281" s="237"/>
      <c r="I281" s="237"/>
      <c r="J281" s="212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  <c r="AA281" s="237"/>
      <c r="AB281" s="237"/>
      <c r="AC281" s="237"/>
    </row>
    <row r="282">
      <c r="A282" s="237"/>
      <c r="B282" s="237"/>
      <c r="C282" s="237"/>
      <c r="D282" s="237"/>
      <c r="E282" s="237"/>
      <c r="F282" s="237"/>
      <c r="G282" s="237"/>
      <c r="H282" s="237"/>
      <c r="I282" s="237"/>
      <c r="J282" s="212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  <c r="AA282" s="237"/>
      <c r="AB282" s="237"/>
      <c r="AC282" s="237"/>
    </row>
    <row r="283">
      <c r="A283" s="237"/>
      <c r="B283" s="237"/>
      <c r="C283" s="237"/>
      <c r="D283" s="237"/>
      <c r="E283" s="237"/>
      <c r="F283" s="237"/>
      <c r="G283" s="237"/>
      <c r="H283" s="237"/>
      <c r="I283" s="237"/>
      <c r="J283" s="212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  <c r="AA283" s="237"/>
      <c r="AB283" s="237"/>
      <c r="AC283" s="237"/>
    </row>
    <row r="284">
      <c r="A284" s="237"/>
      <c r="B284" s="237"/>
      <c r="C284" s="237"/>
      <c r="D284" s="237"/>
      <c r="E284" s="237"/>
      <c r="F284" s="237"/>
      <c r="G284" s="237"/>
      <c r="H284" s="237"/>
      <c r="I284" s="237"/>
      <c r="J284" s="212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  <c r="AA284" s="237"/>
      <c r="AB284" s="237"/>
      <c r="AC284" s="237"/>
    </row>
    <row r="285">
      <c r="A285" s="237"/>
      <c r="B285" s="237"/>
      <c r="C285" s="237"/>
      <c r="D285" s="237"/>
      <c r="E285" s="237"/>
      <c r="F285" s="237"/>
      <c r="G285" s="237"/>
      <c r="H285" s="237"/>
      <c r="I285" s="237"/>
      <c r="J285" s="212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  <c r="AA285" s="237"/>
      <c r="AB285" s="237"/>
      <c r="AC285" s="237"/>
    </row>
    <row r="286">
      <c r="A286" s="237"/>
      <c r="B286" s="237"/>
      <c r="C286" s="237"/>
      <c r="D286" s="237"/>
      <c r="E286" s="237"/>
      <c r="F286" s="237"/>
      <c r="G286" s="237"/>
      <c r="H286" s="237"/>
      <c r="I286" s="237"/>
      <c r="J286" s="212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  <c r="AA286" s="237"/>
      <c r="AB286" s="237"/>
      <c r="AC286" s="237"/>
    </row>
    <row r="287">
      <c r="A287" s="237"/>
      <c r="B287" s="237"/>
      <c r="C287" s="237"/>
      <c r="D287" s="237"/>
      <c r="E287" s="237"/>
      <c r="F287" s="237"/>
      <c r="G287" s="237"/>
      <c r="H287" s="237"/>
      <c r="I287" s="237"/>
      <c r="J287" s="212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  <c r="AA287" s="237"/>
      <c r="AB287" s="237"/>
      <c r="AC287" s="237"/>
    </row>
    <row r="288">
      <c r="A288" s="237"/>
      <c r="B288" s="237"/>
      <c r="C288" s="237"/>
      <c r="D288" s="237"/>
      <c r="E288" s="237"/>
      <c r="F288" s="237"/>
      <c r="G288" s="237"/>
      <c r="H288" s="237"/>
      <c r="I288" s="237"/>
      <c r="J288" s="212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  <c r="AA288" s="237"/>
      <c r="AB288" s="237"/>
      <c r="AC288" s="237"/>
    </row>
    <row r="289">
      <c r="A289" s="237"/>
      <c r="B289" s="237"/>
      <c r="C289" s="237"/>
      <c r="D289" s="237"/>
      <c r="E289" s="237"/>
      <c r="F289" s="237"/>
      <c r="G289" s="237"/>
      <c r="H289" s="237"/>
      <c r="I289" s="237"/>
      <c r="J289" s="212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  <c r="AA289" s="237"/>
      <c r="AB289" s="237"/>
      <c r="AC289" s="237"/>
    </row>
    <row r="290">
      <c r="A290" s="237"/>
      <c r="B290" s="237"/>
      <c r="C290" s="237"/>
      <c r="D290" s="237"/>
      <c r="E290" s="237"/>
      <c r="F290" s="237"/>
      <c r="G290" s="237"/>
      <c r="H290" s="237"/>
      <c r="I290" s="237"/>
      <c r="J290" s="212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  <c r="AA290" s="237"/>
      <c r="AB290" s="237"/>
      <c r="AC290" s="237"/>
    </row>
    <row r="291">
      <c r="A291" s="237"/>
      <c r="B291" s="237"/>
      <c r="C291" s="237"/>
      <c r="D291" s="237"/>
      <c r="E291" s="237"/>
      <c r="F291" s="237"/>
      <c r="G291" s="237"/>
      <c r="H291" s="237"/>
      <c r="I291" s="237"/>
      <c r="J291" s="212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  <c r="AA291" s="237"/>
      <c r="AB291" s="237"/>
      <c r="AC291" s="237"/>
    </row>
    <row r="292">
      <c r="A292" s="237"/>
      <c r="B292" s="237"/>
      <c r="C292" s="237"/>
      <c r="D292" s="237"/>
      <c r="E292" s="237"/>
      <c r="F292" s="237"/>
      <c r="G292" s="237"/>
      <c r="H292" s="237"/>
      <c r="I292" s="237"/>
      <c r="J292" s="212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  <c r="AA292" s="237"/>
      <c r="AB292" s="237"/>
      <c r="AC292" s="237"/>
    </row>
    <row r="293">
      <c r="A293" s="237"/>
      <c r="B293" s="237"/>
      <c r="C293" s="237"/>
      <c r="D293" s="237"/>
      <c r="E293" s="237"/>
      <c r="F293" s="237"/>
      <c r="G293" s="237"/>
      <c r="H293" s="237"/>
      <c r="I293" s="237"/>
      <c r="J293" s="212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37"/>
      <c r="AC293" s="237"/>
    </row>
    <row r="294">
      <c r="A294" s="237"/>
      <c r="B294" s="237"/>
      <c r="C294" s="237"/>
      <c r="D294" s="237"/>
      <c r="E294" s="237"/>
      <c r="F294" s="237"/>
      <c r="G294" s="237"/>
      <c r="H294" s="237"/>
      <c r="I294" s="237"/>
      <c r="J294" s="212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  <c r="AA294" s="237"/>
      <c r="AB294" s="237"/>
      <c r="AC294" s="237"/>
    </row>
    <row r="295">
      <c r="A295" s="237"/>
      <c r="B295" s="237"/>
      <c r="C295" s="237"/>
      <c r="D295" s="237"/>
      <c r="E295" s="237"/>
      <c r="F295" s="237"/>
      <c r="G295" s="237"/>
      <c r="H295" s="237"/>
      <c r="I295" s="237"/>
      <c r="J295" s="212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  <c r="AA295" s="237"/>
      <c r="AB295" s="237"/>
      <c r="AC295" s="237"/>
    </row>
    <row r="296">
      <c r="A296" s="237"/>
      <c r="B296" s="237"/>
      <c r="C296" s="237"/>
      <c r="D296" s="237"/>
      <c r="E296" s="237"/>
      <c r="F296" s="237"/>
      <c r="G296" s="237"/>
      <c r="H296" s="237"/>
      <c r="I296" s="237"/>
      <c r="J296" s="212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  <c r="AA296" s="237"/>
      <c r="AB296" s="237"/>
      <c r="AC296" s="237"/>
    </row>
    <row r="297">
      <c r="A297" s="237"/>
      <c r="B297" s="237"/>
      <c r="C297" s="237"/>
      <c r="D297" s="237"/>
      <c r="E297" s="237"/>
      <c r="F297" s="237"/>
      <c r="G297" s="237"/>
      <c r="H297" s="237"/>
      <c r="I297" s="237"/>
      <c r="J297" s="212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  <c r="AA297" s="237"/>
      <c r="AB297" s="237"/>
      <c r="AC297" s="237"/>
    </row>
    <row r="298">
      <c r="A298" s="237"/>
      <c r="B298" s="237"/>
      <c r="C298" s="237"/>
      <c r="D298" s="237"/>
      <c r="E298" s="237"/>
      <c r="F298" s="237"/>
      <c r="G298" s="237"/>
      <c r="H298" s="237"/>
      <c r="I298" s="237"/>
      <c r="J298" s="212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  <c r="AA298" s="237"/>
      <c r="AB298" s="237"/>
      <c r="AC298" s="237"/>
    </row>
    <row r="299">
      <c r="A299" s="237"/>
      <c r="B299" s="237"/>
      <c r="C299" s="237"/>
      <c r="D299" s="237"/>
      <c r="E299" s="237"/>
      <c r="F299" s="237"/>
      <c r="G299" s="237"/>
      <c r="H299" s="237"/>
      <c r="I299" s="237"/>
      <c r="J299" s="212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  <c r="AA299" s="237"/>
      <c r="AB299" s="237"/>
      <c r="AC299" s="237"/>
    </row>
    <row r="300">
      <c r="A300" s="237"/>
      <c r="B300" s="237"/>
      <c r="C300" s="237"/>
      <c r="D300" s="237"/>
      <c r="E300" s="237"/>
      <c r="F300" s="237"/>
      <c r="G300" s="237"/>
      <c r="H300" s="237"/>
      <c r="I300" s="237"/>
      <c r="J300" s="212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  <c r="AA300" s="237"/>
      <c r="AB300" s="237"/>
      <c r="AC300" s="237"/>
    </row>
    <row r="301">
      <c r="A301" s="237"/>
      <c r="B301" s="237"/>
      <c r="C301" s="237"/>
      <c r="D301" s="237"/>
      <c r="E301" s="237"/>
      <c r="F301" s="237"/>
      <c r="G301" s="237"/>
      <c r="H301" s="237"/>
      <c r="I301" s="237"/>
      <c r="J301" s="212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  <c r="AA301" s="237"/>
      <c r="AB301" s="237"/>
      <c r="AC301" s="237"/>
    </row>
    <row r="302">
      <c r="A302" s="237"/>
      <c r="B302" s="237"/>
      <c r="C302" s="237"/>
      <c r="D302" s="237"/>
      <c r="E302" s="237"/>
      <c r="F302" s="237"/>
      <c r="G302" s="237"/>
      <c r="H302" s="237"/>
      <c r="I302" s="237"/>
      <c r="J302" s="212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  <c r="AA302" s="237"/>
      <c r="AB302" s="237"/>
      <c r="AC302" s="237"/>
    </row>
    <row r="303">
      <c r="A303" s="237"/>
      <c r="B303" s="237"/>
      <c r="C303" s="237"/>
      <c r="D303" s="237"/>
      <c r="E303" s="237"/>
      <c r="F303" s="237"/>
      <c r="G303" s="237"/>
      <c r="H303" s="237"/>
      <c r="I303" s="237"/>
      <c r="J303" s="212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  <c r="AA303" s="237"/>
      <c r="AB303" s="237"/>
      <c r="AC303" s="237"/>
    </row>
    <row r="304">
      <c r="A304" s="237"/>
      <c r="B304" s="237"/>
      <c r="C304" s="237"/>
      <c r="D304" s="237"/>
      <c r="E304" s="237"/>
      <c r="F304" s="237"/>
      <c r="G304" s="237"/>
      <c r="H304" s="237"/>
      <c r="I304" s="237"/>
      <c r="J304" s="212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  <c r="AA304" s="237"/>
      <c r="AB304" s="237"/>
      <c r="AC304" s="237"/>
    </row>
    <row r="305">
      <c r="A305" s="237"/>
      <c r="B305" s="237"/>
      <c r="C305" s="237"/>
      <c r="D305" s="237"/>
      <c r="E305" s="237"/>
      <c r="F305" s="237"/>
      <c r="G305" s="237"/>
      <c r="H305" s="237"/>
      <c r="I305" s="237"/>
      <c r="J305" s="212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  <c r="AA305" s="237"/>
      <c r="AB305" s="237"/>
      <c r="AC305" s="237"/>
    </row>
    <row r="306">
      <c r="A306" s="237"/>
      <c r="B306" s="237"/>
      <c r="C306" s="237"/>
      <c r="D306" s="237"/>
      <c r="E306" s="237"/>
      <c r="F306" s="237"/>
      <c r="G306" s="237"/>
      <c r="H306" s="237"/>
      <c r="I306" s="237"/>
      <c r="J306" s="212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  <c r="AA306" s="237"/>
      <c r="AB306" s="237"/>
      <c r="AC306" s="237"/>
    </row>
    <row r="307">
      <c r="A307" s="237"/>
      <c r="B307" s="237"/>
      <c r="C307" s="237"/>
      <c r="D307" s="237"/>
      <c r="E307" s="237"/>
      <c r="F307" s="237"/>
      <c r="G307" s="237"/>
      <c r="H307" s="237"/>
      <c r="I307" s="237"/>
      <c r="J307" s="212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  <c r="AA307" s="237"/>
      <c r="AB307" s="237"/>
      <c r="AC307" s="237"/>
    </row>
    <row r="308">
      <c r="A308" s="237"/>
      <c r="B308" s="237"/>
      <c r="C308" s="237"/>
      <c r="D308" s="237"/>
      <c r="E308" s="237"/>
      <c r="F308" s="237"/>
      <c r="G308" s="237"/>
      <c r="H308" s="237"/>
      <c r="I308" s="237"/>
      <c r="J308" s="212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  <c r="AA308" s="237"/>
      <c r="AB308" s="237"/>
      <c r="AC308" s="237"/>
    </row>
    <row r="309">
      <c r="A309" s="237"/>
      <c r="B309" s="237"/>
      <c r="C309" s="237"/>
      <c r="D309" s="237"/>
      <c r="E309" s="237"/>
      <c r="F309" s="237"/>
      <c r="G309" s="237"/>
      <c r="H309" s="237"/>
      <c r="I309" s="237"/>
      <c r="J309" s="212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  <c r="AA309" s="237"/>
      <c r="AB309" s="237"/>
      <c r="AC309" s="237"/>
    </row>
    <row r="310">
      <c r="A310" s="237"/>
      <c r="B310" s="237"/>
      <c r="C310" s="237"/>
      <c r="D310" s="237"/>
      <c r="E310" s="237"/>
      <c r="F310" s="237"/>
      <c r="G310" s="237"/>
      <c r="H310" s="237"/>
      <c r="I310" s="237"/>
      <c r="J310" s="212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  <c r="AA310" s="237"/>
      <c r="AB310" s="237"/>
      <c r="AC310" s="237"/>
    </row>
    <row r="311">
      <c r="A311" s="237"/>
      <c r="B311" s="237"/>
      <c r="C311" s="237"/>
      <c r="D311" s="237"/>
      <c r="E311" s="237"/>
      <c r="F311" s="237"/>
      <c r="G311" s="237"/>
      <c r="H311" s="237"/>
      <c r="I311" s="237"/>
      <c r="J311" s="212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  <c r="AA311" s="237"/>
      <c r="AB311" s="237"/>
      <c r="AC311" s="237"/>
    </row>
    <row r="312">
      <c r="A312" s="237"/>
      <c r="B312" s="237"/>
      <c r="C312" s="237"/>
      <c r="D312" s="237"/>
      <c r="E312" s="237"/>
      <c r="F312" s="237"/>
      <c r="G312" s="237"/>
      <c r="H312" s="237"/>
      <c r="I312" s="237"/>
      <c r="J312" s="212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  <c r="AA312" s="237"/>
      <c r="AB312" s="237"/>
      <c r="AC312" s="237"/>
    </row>
    <row r="313">
      <c r="A313" s="237"/>
      <c r="B313" s="237"/>
      <c r="C313" s="237"/>
      <c r="D313" s="237"/>
      <c r="E313" s="237"/>
      <c r="F313" s="237"/>
      <c r="G313" s="237"/>
      <c r="H313" s="237"/>
      <c r="I313" s="237"/>
      <c r="J313" s="212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  <c r="AA313" s="237"/>
      <c r="AB313" s="237"/>
      <c r="AC313" s="237"/>
    </row>
    <row r="314">
      <c r="A314" s="237"/>
      <c r="B314" s="237"/>
      <c r="C314" s="237"/>
      <c r="D314" s="237"/>
      <c r="E314" s="237"/>
      <c r="F314" s="237"/>
      <c r="G314" s="237"/>
      <c r="H314" s="237"/>
      <c r="I314" s="237"/>
      <c r="J314" s="212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  <c r="AA314" s="237"/>
      <c r="AB314" s="237"/>
      <c r="AC314" s="237"/>
    </row>
    <row r="315">
      <c r="A315" s="237"/>
      <c r="B315" s="237"/>
      <c r="C315" s="237"/>
      <c r="D315" s="237"/>
      <c r="E315" s="237"/>
      <c r="F315" s="237"/>
      <c r="G315" s="237"/>
      <c r="H315" s="237"/>
      <c r="I315" s="237"/>
      <c r="J315" s="212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  <c r="AA315" s="237"/>
      <c r="AB315" s="237"/>
      <c r="AC315" s="237"/>
    </row>
    <row r="316">
      <c r="A316" s="237"/>
      <c r="B316" s="237"/>
      <c r="C316" s="237"/>
      <c r="D316" s="237"/>
      <c r="E316" s="237"/>
      <c r="F316" s="237"/>
      <c r="G316" s="237"/>
      <c r="H316" s="237"/>
      <c r="I316" s="237"/>
      <c r="J316" s="212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  <c r="AA316" s="237"/>
      <c r="AB316" s="237"/>
      <c r="AC316" s="237"/>
    </row>
    <row r="317">
      <c r="A317" s="237"/>
      <c r="B317" s="237"/>
      <c r="C317" s="237"/>
      <c r="D317" s="237"/>
      <c r="E317" s="237"/>
      <c r="F317" s="237"/>
      <c r="G317" s="237"/>
      <c r="H317" s="237"/>
      <c r="I317" s="237"/>
      <c r="J317" s="212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  <c r="AA317" s="237"/>
      <c r="AB317" s="237"/>
      <c r="AC317" s="237"/>
    </row>
    <row r="318">
      <c r="A318" s="237"/>
      <c r="B318" s="237"/>
      <c r="C318" s="237"/>
      <c r="D318" s="237"/>
      <c r="E318" s="237"/>
      <c r="F318" s="237"/>
      <c r="G318" s="237"/>
      <c r="H318" s="237"/>
      <c r="I318" s="237"/>
      <c r="J318" s="212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  <c r="AA318" s="237"/>
      <c r="AB318" s="237"/>
      <c r="AC318" s="237"/>
    </row>
    <row r="319">
      <c r="A319" s="237"/>
      <c r="B319" s="237"/>
      <c r="C319" s="237"/>
      <c r="D319" s="237"/>
      <c r="E319" s="237"/>
      <c r="F319" s="237"/>
      <c r="G319" s="237"/>
      <c r="H319" s="237"/>
      <c r="I319" s="237"/>
      <c r="J319" s="212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  <c r="AA319" s="237"/>
      <c r="AB319" s="237"/>
      <c r="AC319" s="237"/>
    </row>
    <row r="320">
      <c r="A320" s="237"/>
      <c r="B320" s="237"/>
      <c r="C320" s="237"/>
      <c r="D320" s="237"/>
      <c r="E320" s="237"/>
      <c r="F320" s="237"/>
      <c r="G320" s="237"/>
      <c r="H320" s="237"/>
      <c r="I320" s="237"/>
      <c r="J320" s="212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  <c r="AA320" s="237"/>
      <c r="AB320" s="237"/>
      <c r="AC320" s="237"/>
    </row>
    <row r="321">
      <c r="A321" s="237"/>
      <c r="B321" s="237"/>
      <c r="C321" s="237"/>
      <c r="D321" s="237"/>
      <c r="E321" s="237"/>
      <c r="F321" s="237"/>
      <c r="G321" s="237"/>
      <c r="H321" s="237"/>
      <c r="I321" s="237"/>
      <c r="J321" s="212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  <c r="AA321" s="237"/>
      <c r="AB321" s="237"/>
      <c r="AC321" s="237"/>
    </row>
    <row r="322">
      <c r="A322" s="237"/>
      <c r="B322" s="237"/>
      <c r="C322" s="237"/>
      <c r="D322" s="237"/>
      <c r="E322" s="237"/>
      <c r="F322" s="237"/>
      <c r="G322" s="237"/>
      <c r="H322" s="237"/>
      <c r="I322" s="237"/>
      <c r="J322" s="212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  <c r="AA322" s="237"/>
      <c r="AB322" s="237"/>
      <c r="AC322" s="237"/>
    </row>
    <row r="323">
      <c r="A323" s="237"/>
      <c r="B323" s="237"/>
      <c r="C323" s="237"/>
      <c r="D323" s="237"/>
      <c r="E323" s="237"/>
      <c r="F323" s="237"/>
      <c r="G323" s="237"/>
      <c r="H323" s="237"/>
      <c r="I323" s="237"/>
      <c r="J323" s="212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  <c r="AA323" s="237"/>
      <c r="AB323" s="237"/>
      <c r="AC323" s="237"/>
    </row>
    <row r="324">
      <c r="A324" s="237"/>
      <c r="B324" s="237"/>
      <c r="C324" s="237"/>
      <c r="D324" s="237"/>
      <c r="E324" s="237"/>
      <c r="F324" s="237"/>
      <c r="G324" s="237"/>
      <c r="H324" s="237"/>
      <c r="I324" s="237"/>
      <c r="J324" s="212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  <c r="AA324" s="237"/>
      <c r="AB324" s="237"/>
      <c r="AC324" s="237"/>
    </row>
    <row r="325">
      <c r="A325" s="237"/>
      <c r="B325" s="237"/>
      <c r="C325" s="237"/>
      <c r="D325" s="237"/>
      <c r="E325" s="237"/>
      <c r="F325" s="237"/>
      <c r="G325" s="237"/>
      <c r="H325" s="237"/>
      <c r="I325" s="237"/>
      <c r="J325" s="212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  <c r="AA325" s="237"/>
      <c r="AB325" s="237"/>
      <c r="AC325" s="237"/>
    </row>
    <row r="326">
      <c r="A326" s="237"/>
      <c r="B326" s="237"/>
      <c r="C326" s="237"/>
      <c r="D326" s="237"/>
      <c r="E326" s="237"/>
      <c r="F326" s="237"/>
      <c r="G326" s="237"/>
      <c r="H326" s="237"/>
      <c r="I326" s="237"/>
      <c r="J326" s="212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  <c r="AA326" s="237"/>
      <c r="AB326" s="237"/>
      <c r="AC326" s="237"/>
    </row>
    <row r="327">
      <c r="A327" s="237"/>
      <c r="B327" s="237"/>
      <c r="C327" s="237"/>
      <c r="D327" s="237"/>
      <c r="E327" s="237"/>
      <c r="F327" s="237"/>
      <c r="G327" s="237"/>
      <c r="H327" s="237"/>
      <c r="I327" s="237"/>
      <c r="J327" s="212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  <c r="AA327" s="237"/>
      <c r="AB327" s="237"/>
      <c r="AC327" s="237"/>
    </row>
    <row r="328">
      <c r="A328" s="237"/>
      <c r="B328" s="237"/>
      <c r="C328" s="237"/>
      <c r="D328" s="237"/>
      <c r="E328" s="237"/>
      <c r="F328" s="237"/>
      <c r="G328" s="237"/>
      <c r="H328" s="237"/>
      <c r="I328" s="237"/>
      <c r="J328" s="212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  <c r="AA328" s="237"/>
      <c r="AB328" s="237"/>
      <c r="AC328" s="237"/>
    </row>
    <row r="329">
      <c r="A329" s="237"/>
      <c r="B329" s="237"/>
      <c r="C329" s="237"/>
      <c r="D329" s="237"/>
      <c r="E329" s="237"/>
      <c r="F329" s="237"/>
      <c r="G329" s="237"/>
      <c r="H329" s="237"/>
      <c r="I329" s="237"/>
      <c r="J329" s="212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  <c r="AA329" s="237"/>
      <c r="AB329" s="237"/>
      <c r="AC329" s="237"/>
    </row>
    <row r="330">
      <c r="A330" s="237"/>
      <c r="B330" s="237"/>
      <c r="C330" s="237"/>
      <c r="D330" s="237"/>
      <c r="E330" s="237"/>
      <c r="F330" s="237"/>
      <c r="G330" s="237"/>
      <c r="H330" s="237"/>
      <c r="I330" s="237"/>
      <c r="J330" s="212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  <c r="AA330" s="237"/>
      <c r="AB330" s="237"/>
      <c r="AC330" s="237"/>
    </row>
    <row r="331">
      <c r="A331" s="237"/>
      <c r="B331" s="237"/>
      <c r="C331" s="237"/>
      <c r="D331" s="237"/>
      <c r="E331" s="237"/>
      <c r="F331" s="237"/>
      <c r="G331" s="237"/>
      <c r="H331" s="237"/>
      <c r="I331" s="237"/>
      <c r="J331" s="212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  <c r="AA331" s="237"/>
      <c r="AB331" s="237"/>
      <c r="AC331" s="237"/>
    </row>
    <row r="332">
      <c r="A332" s="237"/>
      <c r="B332" s="237"/>
      <c r="C332" s="237"/>
      <c r="D332" s="237"/>
      <c r="E332" s="237"/>
      <c r="F332" s="237"/>
      <c r="G332" s="237"/>
      <c r="H332" s="237"/>
      <c r="I332" s="237"/>
      <c r="J332" s="212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  <c r="AA332" s="237"/>
      <c r="AB332" s="237"/>
      <c r="AC332" s="237"/>
    </row>
    <row r="333">
      <c r="A333" s="237"/>
      <c r="B333" s="237"/>
      <c r="C333" s="237"/>
      <c r="D333" s="237"/>
      <c r="E333" s="237"/>
      <c r="F333" s="237"/>
      <c r="G333" s="237"/>
      <c r="H333" s="237"/>
      <c r="I333" s="237"/>
      <c r="J333" s="212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  <c r="AA333" s="237"/>
      <c r="AB333" s="237"/>
      <c r="AC333" s="237"/>
    </row>
    <row r="334">
      <c r="A334" s="237"/>
      <c r="B334" s="237"/>
      <c r="C334" s="237"/>
      <c r="D334" s="237"/>
      <c r="E334" s="237"/>
      <c r="F334" s="237"/>
      <c r="G334" s="237"/>
      <c r="H334" s="237"/>
      <c r="I334" s="237"/>
      <c r="J334" s="212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  <c r="AA334" s="237"/>
      <c r="AB334" s="237"/>
      <c r="AC334" s="237"/>
    </row>
    <row r="335">
      <c r="A335" s="237"/>
      <c r="B335" s="237"/>
      <c r="C335" s="237"/>
      <c r="D335" s="237"/>
      <c r="E335" s="237"/>
      <c r="F335" s="237"/>
      <c r="G335" s="237"/>
      <c r="H335" s="237"/>
      <c r="I335" s="237"/>
      <c r="J335" s="212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  <c r="AA335" s="237"/>
      <c r="AB335" s="237"/>
      <c r="AC335" s="237"/>
    </row>
    <row r="336">
      <c r="A336" s="237"/>
      <c r="B336" s="237"/>
      <c r="C336" s="237"/>
      <c r="D336" s="237"/>
      <c r="E336" s="237"/>
      <c r="F336" s="237"/>
      <c r="G336" s="237"/>
      <c r="H336" s="237"/>
      <c r="I336" s="237"/>
      <c r="J336" s="212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  <c r="AA336" s="237"/>
      <c r="AB336" s="237"/>
      <c r="AC336" s="237"/>
    </row>
    <row r="337">
      <c r="A337" s="237"/>
      <c r="B337" s="237"/>
      <c r="C337" s="237"/>
      <c r="D337" s="237"/>
      <c r="E337" s="237"/>
      <c r="F337" s="237"/>
      <c r="G337" s="237"/>
      <c r="H337" s="237"/>
      <c r="I337" s="237"/>
      <c r="J337" s="212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  <c r="AA337" s="237"/>
      <c r="AB337" s="237"/>
      <c r="AC337" s="237"/>
    </row>
    <row r="338">
      <c r="A338" s="237"/>
      <c r="B338" s="237"/>
      <c r="C338" s="237"/>
      <c r="D338" s="237"/>
      <c r="E338" s="237"/>
      <c r="F338" s="237"/>
      <c r="G338" s="237"/>
      <c r="H338" s="237"/>
      <c r="I338" s="237"/>
      <c r="J338" s="212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  <c r="AA338" s="237"/>
      <c r="AB338" s="237"/>
      <c r="AC338" s="237"/>
    </row>
    <row r="339">
      <c r="A339" s="237"/>
      <c r="B339" s="237"/>
      <c r="C339" s="237"/>
      <c r="D339" s="237"/>
      <c r="E339" s="237"/>
      <c r="F339" s="237"/>
      <c r="G339" s="237"/>
      <c r="H339" s="237"/>
      <c r="I339" s="237"/>
      <c r="J339" s="212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  <c r="AA339" s="237"/>
      <c r="AB339" s="237"/>
      <c r="AC339" s="237"/>
    </row>
    <row r="340">
      <c r="A340" s="237"/>
      <c r="B340" s="237"/>
      <c r="C340" s="237"/>
      <c r="D340" s="237"/>
      <c r="E340" s="237"/>
      <c r="F340" s="237"/>
      <c r="G340" s="237"/>
      <c r="H340" s="237"/>
      <c r="I340" s="237"/>
      <c r="J340" s="212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  <c r="AA340" s="237"/>
      <c r="AB340" s="237"/>
      <c r="AC340" s="237"/>
    </row>
    <row r="341">
      <c r="A341" s="237"/>
      <c r="B341" s="237"/>
      <c r="C341" s="237"/>
      <c r="D341" s="237"/>
      <c r="E341" s="237"/>
      <c r="F341" s="237"/>
      <c r="G341" s="237"/>
      <c r="H341" s="237"/>
      <c r="I341" s="237"/>
      <c r="J341" s="212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  <c r="AA341" s="237"/>
      <c r="AB341" s="237"/>
      <c r="AC341" s="237"/>
    </row>
    <row r="342">
      <c r="A342" s="237"/>
      <c r="B342" s="237"/>
      <c r="C342" s="237"/>
      <c r="D342" s="237"/>
      <c r="E342" s="237"/>
      <c r="F342" s="237"/>
      <c r="G342" s="237"/>
      <c r="H342" s="237"/>
      <c r="I342" s="237"/>
      <c r="J342" s="212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  <c r="AA342" s="237"/>
      <c r="AB342" s="237"/>
      <c r="AC342" s="237"/>
    </row>
    <row r="343">
      <c r="A343" s="237"/>
      <c r="B343" s="237"/>
      <c r="C343" s="237"/>
      <c r="D343" s="237"/>
      <c r="E343" s="237"/>
      <c r="F343" s="237"/>
      <c r="G343" s="237"/>
      <c r="H343" s="237"/>
      <c r="I343" s="237"/>
      <c r="J343" s="212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  <c r="AA343" s="237"/>
      <c r="AB343" s="237"/>
      <c r="AC343" s="237"/>
    </row>
    <row r="344">
      <c r="A344" s="237"/>
      <c r="B344" s="237"/>
      <c r="C344" s="237"/>
      <c r="D344" s="237"/>
      <c r="E344" s="237"/>
      <c r="F344" s="237"/>
      <c r="G344" s="237"/>
      <c r="H344" s="237"/>
      <c r="I344" s="237"/>
      <c r="J344" s="212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  <c r="AA344" s="237"/>
      <c r="AB344" s="237"/>
      <c r="AC344" s="237"/>
    </row>
    <row r="345">
      <c r="A345" s="237"/>
      <c r="B345" s="237"/>
      <c r="C345" s="237"/>
      <c r="D345" s="237"/>
      <c r="E345" s="237"/>
      <c r="F345" s="237"/>
      <c r="G345" s="237"/>
      <c r="H345" s="237"/>
      <c r="I345" s="237"/>
      <c r="J345" s="212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  <c r="AA345" s="237"/>
      <c r="AB345" s="237"/>
      <c r="AC345" s="237"/>
    </row>
    <row r="346">
      <c r="A346" s="237"/>
      <c r="B346" s="237"/>
      <c r="C346" s="237"/>
      <c r="D346" s="237"/>
      <c r="E346" s="237"/>
      <c r="F346" s="237"/>
      <c r="G346" s="237"/>
      <c r="H346" s="237"/>
      <c r="I346" s="237"/>
      <c r="J346" s="212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  <c r="AA346" s="237"/>
      <c r="AB346" s="237"/>
      <c r="AC346" s="237"/>
    </row>
    <row r="347">
      <c r="A347" s="237"/>
      <c r="B347" s="237"/>
      <c r="C347" s="237"/>
      <c r="D347" s="237"/>
      <c r="E347" s="237"/>
      <c r="F347" s="237"/>
      <c r="G347" s="237"/>
      <c r="H347" s="237"/>
      <c r="I347" s="237"/>
      <c r="J347" s="212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  <c r="AA347" s="237"/>
      <c r="AB347" s="237"/>
      <c r="AC347" s="237"/>
    </row>
    <row r="348">
      <c r="A348" s="237"/>
      <c r="B348" s="237"/>
      <c r="C348" s="237"/>
      <c r="D348" s="237"/>
      <c r="E348" s="237"/>
      <c r="F348" s="237"/>
      <c r="G348" s="237"/>
      <c r="H348" s="237"/>
      <c r="I348" s="237"/>
      <c r="J348" s="212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  <c r="AA348" s="237"/>
      <c r="AB348" s="237"/>
      <c r="AC348" s="237"/>
    </row>
    <row r="349">
      <c r="A349" s="237"/>
      <c r="B349" s="237"/>
      <c r="C349" s="237"/>
      <c r="D349" s="237"/>
      <c r="E349" s="237"/>
      <c r="F349" s="237"/>
      <c r="G349" s="237"/>
      <c r="H349" s="237"/>
      <c r="I349" s="237"/>
      <c r="J349" s="212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  <c r="AA349" s="237"/>
      <c r="AB349" s="237"/>
      <c r="AC349" s="237"/>
    </row>
    <row r="350">
      <c r="A350" s="237"/>
      <c r="B350" s="237"/>
      <c r="C350" s="237"/>
      <c r="D350" s="237"/>
      <c r="E350" s="237"/>
      <c r="F350" s="237"/>
      <c r="G350" s="237"/>
      <c r="H350" s="237"/>
      <c r="I350" s="237"/>
      <c r="J350" s="212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  <c r="AA350" s="237"/>
      <c r="AB350" s="237"/>
      <c r="AC350" s="237"/>
    </row>
    <row r="351">
      <c r="A351" s="237"/>
      <c r="B351" s="237"/>
      <c r="C351" s="237"/>
      <c r="D351" s="237"/>
      <c r="E351" s="237"/>
      <c r="F351" s="237"/>
      <c r="G351" s="237"/>
      <c r="H351" s="237"/>
      <c r="I351" s="237"/>
      <c r="J351" s="212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  <c r="AA351" s="237"/>
      <c r="AB351" s="237"/>
      <c r="AC351" s="237"/>
    </row>
    <row r="352">
      <c r="A352" s="237"/>
      <c r="B352" s="237"/>
      <c r="C352" s="237"/>
      <c r="D352" s="237"/>
      <c r="E352" s="237"/>
      <c r="F352" s="237"/>
      <c r="G352" s="237"/>
      <c r="H352" s="237"/>
      <c r="I352" s="237"/>
      <c r="J352" s="212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  <c r="AA352" s="237"/>
      <c r="AB352" s="237"/>
      <c r="AC352" s="237"/>
    </row>
    <row r="353">
      <c r="A353" s="237"/>
      <c r="B353" s="237"/>
      <c r="C353" s="237"/>
      <c r="D353" s="237"/>
      <c r="E353" s="237"/>
      <c r="F353" s="237"/>
      <c r="G353" s="237"/>
      <c r="H353" s="237"/>
      <c r="I353" s="237"/>
      <c r="J353" s="212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  <c r="AA353" s="237"/>
      <c r="AB353" s="237"/>
      <c r="AC353" s="237"/>
    </row>
    <row r="354">
      <c r="A354" s="237"/>
      <c r="B354" s="237"/>
      <c r="C354" s="237"/>
      <c r="D354" s="237"/>
      <c r="E354" s="237"/>
      <c r="F354" s="237"/>
      <c r="G354" s="237"/>
      <c r="H354" s="237"/>
      <c r="I354" s="237"/>
      <c r="J354" s="212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  <c r="AA354" s="237"/>
      <c r="AB354" s="237"/>
      <c r="AC354" s="237"/>
    </row>
    <row r="355">
      <c r="A355" s="237"/>
      <c r="B355" s="237"/>
      <c r="C355" s="237"/>
      <c r="D355" s="237"/>
      <c r="E355" s="237"/>
      <c r="F355" s="237"/>
      <c r="G355" s="237"/>
      <c r="H355" s="237"/>
      <c r="I355" s="237"/>
      <c r="J355" s="212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  <c r="AA355" s="237"/>
      <c r="AB355" s="237"/>
      <c r="AC355" s="237"/>
    </row>
    <row r="356">
      <c r="A356" s="237"/>
      <c r="B356" s="237"/>
      <c r="C356" s="237"/>
      <c r="D356" s="237"/>
      <c r="E356" s="237"/>
      <c r="F356" s="237"/>
      <c r="G356" s="237"/>
      <c r="H356" s="237"/>
      <c r="I356" s="237"/>
      <c r="J356" s="212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  <c r="AA356" s="237"/>
      <c r="AB356" s="237"/>
      <c r="AC356" s="237"/>
    </row>
    <row r="357">
      <c r="A357" s="237"/>
      <c r="B357" s="237"/>
      <c r="C357" s="237"/>
      <c r="D357" s="237"/>
      <c r="E357" s="237"/>
      <c r="F357" s="237"/>
      <c r="G357" s="237"/>
      <c r="H357" s="237"/>
      <c r="I357" s="237"/>
      <c r="J357" s="212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  <c r="AA357" s="237"/>
      <c r="AB357" s="237"/>
      <c r="AC357" s="237"/>
    </row>
    <row r="358">
      <c r="A358" s="237"/>
      <c r="B358" s="237"/>
      <c r="C358" s="237"/>
      <c r="D358" s="237"/>
      <c r="E358" s="237"/>
      <c r="F358" s="237"/>
      <c r="G358" s="237"/>
      <c r="H358" s="237"/>
      <c r="I358" s="237"/>
      <c r="J358" s="212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  <c r="AA358" s="237"/>
      <c r="AB358" s="237"/>
      <c r="AC358" s="237"/>
    </row>
    <row r="359">
      <c r="A359" s="237"/>
      <c r="B359" s="237"/>
      <c r="C359" s="237"/>
      <c r="D359" s="237"/>
      <c r="E359" s="237"/>
      <c r="F359" s="237"/>
      <c r="G359" s="237"/>
      <c r="H359" s="237"/>
      <c r="I359" s="237"/>
      <c r="J359" s="212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  <c r="AA359" s="237"/>
      <c r="AB359" s="237"/>
      <c r="AC359" s="237"/>
    </row>
    <row r="360">
      <c r="A360" s="237"/>
      <c r="B360" s="237"/>
      <c r="C360" s="237"/>
      <c r="D360" s="237"/>
      <c r="E360" s="237"/>
      <c r="F360" s="237"/>
      <c r="G360" s="237"/>
      <c r="H360" s="237"/>
      <c r="I360" s="237"/>
      <c r="J360" s="212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  <c r="AA360" s="237"/>
      <c r="AB360" s="237"/>
      <c r="AC360" s="237"/>
    </row>
    <row r="361">
      <c r="A361" s="237"/>
      <c r="B361" s="237"/>
      <c r="C361" s="237"/>
      <c r="D361" s="237"/>
      <c r="E361" s="237"/>
      <c r="F361" s="237"/>
      <c r="G361" s="237"/>
      <c r="H361" s="237"/>
      <c r="I361" s="237"/>
      <c r="J361" s="212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  <c r="AA361" s="237"/>
      <c r="AB361" s="237"/>
      <c r="AC361" s="237"/>
    </row>
    <row r="362">
      <c r="A362" s="237"/>
      <c r="B362" s="237"/>
      <c r="C362" s="237"/>
      <c r="D362" s="237"/>
      <c r="E362" s="237"/>
      <c r="F362" s="237"/>
      <c r="G362" s="237"/>
      <c r="H362" s="237"/>
      <c r="I362" s="237"/>
      <c r="J362" s="212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  <c r="AA362" s="237"/>
      <c r="AB362" s="237"/>
      <c r="AC362" s="237"/>
    </row>
    <row r="363">
      <c r="A363" s="237"/>
      <c r="B363" s="237"/>
      <c r="C363" s="237"/>
      <c r="D363" s="237"/>
      <c r="E363" s="237"/>
      <c r="F363" s="237"/>
      <c r="G363" s="237"/>
      <c r="H363" s="237"/>
      <c r="I363" s="237"/>
      <c r="J363" s="212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  <c r="AA363" s="237"/>
      <c r="AB363" s="237"/>
      <c r="AC363" s="237"/>
    </row>
    <row r="364">
      <c r="A364" s="237"/>
      <c r="B364" s="237"/>
      <c r="C364" s="237"/>
      <c r="D364" s="237"/>
      <c r="E364" s="237"/>
      <c r="F364" s="237"/>
      <c r="G364" s="237"/>
      <c r="H364" s="237"/>
      <c r="I364" s="237"/>
      <c r="J364" s="212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  <c r="AA364" s="237"/>
      <c r="AB364" s="237"/>
      <c r="AC364" s="237"/>
    </row>
    <row r="365">
      <c r="A365" s="237"/>
      <c r="B365" s="237"/>
      <c r="C365" s="237"/>
      <c r="D365" s="237"/>
      <c r="E365" s="237"/>
      <c r="F365" s="237"/>
      <c r="G365" s="237"/>
      <c r="H365" s="237"/>
      <c r="I365" s="237"/>
      <c r="J365" s="212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  <c r="AA365" s="237"/>
      <c r="AB365" s="237"/>
      <c r="AC365" s="237"/>
    </row>
    <row r="366">
      <c r="A366" s="237"/>
      <c r="B366" s="237"/>
      <c r="C366" s="237"/>
      <c r="D366" s="237"/>
      <c r="E366" s="237"/>
      <c r="F366" s="237"/>
      <c r="G366" s="237"/>
      <c r="H366" s="237"/>
      <c r="I366" s="237"/>
      <c r="J366" s="212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  <c r="AA366" s="237"/>
      <c r="AB366" s="237"/>
      <c r="AC366" s="237"/>
    </row>
    <row r="367">
      <c r="A367" s="237"/>
      <c r="B367" s="237"/>
      <c r="C367" s="237"/>
      <c r="D367" s="237"/>
      <c r="E367" s="237"/>
      <c r="F367" s="237"/>
      <c r="G367" s="237"/>
      <c r="H367" s="237"/>
      <c r="I367" s="237"/>
      <c r="J367" s="212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  <c r="AA367" s="237"/>
      <c r="AB367" s="237"/>
      <c r="AC367" s="237"/>
    </row>
    <row r="368">
      <c r="A368" s="237"/>
      <c r="B368" s="237"/>
      <c r="C368" s="237"/>
      <c r="D368" s="237"/>
      <c r="E368" s="237"/>
      <c r="F368" s="237"/>
      <c r="G368" s="237"/>
      <c r="H368" s="237"/>
      <c r="I368" s="237"/>
      <c r="J368" s="212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  <c r="AA368" s="237"/>
      <c r="AB368" s="237"/>
      <c r="AC368" s="237"/>
    </row>
    <row r="369">
      <c r="A369" s="237"/>
      <c r="B369" s="237"/>
      <c r="C369" s="237"/>
      <c r="D369" s="237"/>
      <c r="E369" s="237"/>
      <c r="F369" s="237"/>
      <c r="G369" s="237"/>
      <c r="H369" s="237"/>
      <c r="I369" s="237"/>
      <c r="J369" s="212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  <c r="AA369" s="237"/>
      <c r="AB369" s="237"/>
      <c r="AC369" s="237"/>
    </row>
    <row r="370">
      <c r="A370" s="237"/>
      <c r="B370" s="237"/>
      <c r="C370" s="237"/>
      <c r="D370" s="237"/>
      <c r="E370" s="237"/>
      <c r="F370" s="237"/>
      <c r="G370" s="237"/>
      <c r="H370" s="237"/>
      <c r="I370" s="237"/>
      <c r="J370" s="212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  <c r="AA370" s="237"/>
      <c r="AB370" s="237"/>
      <c r="AC370" s="237"/>
    </row>
    <row r="371">
      <c r="A371" s="237"/>
      <c r="B371" s="237"/>
      <c r="C371" s="237"/>
      <c r="D371" s="237"/>
      <c r="E371" s="237"/>
      <c r="F371" s="237"/>
      <c r="G371" s="237"/>
      <c r="H371" s="237"/>
      <c r="I371" s="237"/>
      <c r="J371" s="212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  <c r="AA371" s="237"/>
      <c r="AB371" s="237"/>
      <c r="AC371" s="237"/>
    </row>
    <row r="372">
      <c r="A372" s="237"/>
      <c r="B372" s="237"/>
      <c r="C372" s="237"/>
      <c r="D372" s="237"/>
      <c r="E372" s="237"/>
      <c r="F372" s="237"/>
      <c r="G372" s="237"/>
      <c r="H372" s="237"/>
      <c r="I372" s="237"/>
      <c r="J372" s="212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  <c r="AA372" s="237"/>
      <c r="AB372" s="237"/>
      <c r="AC372" s="237"/>
    </row>
    <row r="373">
      <c r="A373" s="237"/>
      <c r="B373" s="237"/>
      <c r="C373" s="237"/>
      <c r="D373" s="237"/>
      <c r="E373" s="237"/>
      <c r="F373" s="237"/>
      <c r="G373" s="237"/>
      <c r="H373" s="237"/>
      <c r="I373" s="237"/>
      <c r="J373" s="212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  <c r="AA373" s="237"/>
      <c r="AB373" s="237"/>
      <c r="AC373" s="237"/>
    </row>
    <row r="374">
      <c r="A374" s="237"/>
      <c r="B374" s="237"/>
      <c r="C374" s="237"/>
      <c r="D374" s="237"/>
      <c r="E374" s="237"/>
      <c r="F374" s="237"/>
      <c r="G374" s="237"/>
      <c r="H374" s="237"/>
      <c r="I374" s="237"/>
      <c r="J374" s="212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  <c r="AA374" s="237"/>
      <c r="AB374" s="237"/>
      <c r="AC374" s="237"/>
    </row>
    <row r="375">
      <c r="A375" s="237"/>
      <c r="B375" s="237"/>
      <c r="C375" s="237"/>
      <c r="D375" s="237"/>
      <c r="E375" s="237"/>
      <c r="F375" s="237"/>
      <c r="G375" s="237"/>
      <c r="H375" s="237"/>
      <c r="I375" s="237"/>
      <c r="J375" s="212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  <c r="AA375" s="237"/>
      <c r="AB375" s="237"/>
      <c r="AC375" s="237"/>
    </row>
    <row r="376">
      <c r="A376" s="237"/>
      <c r="B376" s="237"/>
      <c r="C376" s="237"/>
      <c r="D376" s="237"/>
      <c r="E376" s="237"/>
      <c r="F376" s="237"/>
      <c r="G376" s="237"/>
      <c r="H376" s="237"/>
      <c r="I376" s="237"/>
      <c r="J376" s="212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  <c r="AA376" s="237"/>
      <c r="AB376" s="237"/>
      <c r="AC376" s="237"/>
    </row>
    <row r="377">
      <c r="A377" s="237"/>
      <c r="B377" s="237"/>
      <c r="C377" s="237"/>
      <c r="D377" s="237"/>
      <c r="E377" s="237"/>
      <c r="F377" s="237"/>
      <c r="G377" s="237"/>
      <c r="H377" s="237"/>
      <c r="I377" s="237"/>
      <c r="J377" s="212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  <c r="AA377" s="237"/>
      <c r="AB377" s="237"/>
      <c r="AC377" s="237"/>
    </row>
    <row r="378">
      <c r="A378" s="237"/>
      <c r="B378" s="237"/>
      <c r="C378" s="237"/>
      <c r="D378" s="237"/>
      <c r="E378" s="237"/>
      <c r="F378" s="237"/>
      <c r="G378" s="237"/>
      <c r="H378" s="237"/>
      <c r="I378" s="237"/>
      <c r="J378" s="212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  <c r="AA378" s="237"/>
      <c r="AB378" s="237"/>
      <c r="AC378" s="237"/>
    </row>
    <row r="379">
      <c r="A379" s="237"/>
      <c r="B379" s="237"/>
      <c r="C379" s="237"/>
      <c r="D379" s="237"/>
      <c r="E379" s="237"/>
      <c r="F379" s="237"/>
      <c r="G379" s="237"/>
      <c r="H379" s="237"/>
      <c r="I379" s="237"/>
      <c r="J379" s="212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  <c r="AA379" s="237"/>
      <c r="AB379" s="237"/>
      <c r="AC379" s="237"/>
    </row>
    <row r="380">
      <c r="A380" s="237"/>
      <c r="B380" s="237"/>
      <c r="C380" s="237"/>
      <c r="D380" s="237"/>
      <c r="E380" s="237"/>
      <c r="F380" s="237"/>
      <c r="G380" s="237"/>
      <c r="H380" s="237"/>
      <c r="I380" s="237"/>
      <c r="J380" s="212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  <c r="AA380" s="237"/>
      <c r="AB380" s="237"/>
      <c r="AC380" s="237"/>
    </row>
    <row r="381">
      <c r="A381" s="237"/>
      <c r="B381" s="237"/>
      <c r="C381" s="237"/>
      <c r="D381" s="237"/>
      <c r="E381" s="237"/>
      <c r="F381" s="237"/>
      <c r="G381" s="237"/>
      <c r="H381" s="237"/>
      <c r="I381" s="237"/>
      <c r="J381" s="212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  <c r="AA381" s="237"/>
      <c r="AB381" s="237"/>
      <c r="AC381" s="237"/>
    </row>
    <row r="382">
      <c r="A382" s="237"/>
      <c r="B382" s="237"/>
      <c r="C382" s="237"/>
      <c r="D382" s="237"/>
      <c r="E382" s="237"/>
      <c r="F382" s="237"/>
      <c r="G382" s="237"/>
      <c r="H382" s="237"/>
      <c r="I382" s="237"/>
      <c r="J382" s="212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  <c r="AA382" s="237"/>
      <c r="AB382" s="237"/>
      <c r="AC382" s="237"/>
    </row>
    <row r="383">
      <c r="A383" s="237"/>
      <c r="B383" s="237"/>
      <c r="C383" s="237"/>
      <c r="D383" s="237"/>
      <c r="E383" s="237"/>
      <c r="F383" s="237"/>
      <c r="G383" s="237"/>
      <c r="H383" s="237"/>
      <c r="I383" s="237"/>
      <c r="J383" s="212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  <c r="AA383" s="237"/>
      <c r="AB383" s="237"/>
      <c r="AC383" s="237"/>
    </row>
    <row r="384">
      <c r="A384" s="237"/>
      <c r="B384" s="237"/>
      <c r="C384" s="237"/>
      <c r="D384" s="237"/>
      <c r="E384" s="237"/>
      <c r="F384" s="237"/>
      <c r="G384" s="237"/>
      <c r="H384" s="237"/>
      <c r="I384" s="237"/>
      <c r="J384" s="212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  <c r="AA384" s="237"/>
      <c r="AB384" s="237"/>
      <c r="AC384" s="237"/>
    </row>
    <row r="385">
      <c r="A385" s="237"/>
      <c r="B385" s="237"/>
      <c r="C385" s="237"/>
      <c r="D385" s="237"/>
      <c r="E385" s="237"/>
      <c r="F385" s="237"/>
      <c r="G385" s="237"/>
      <c r="H385" s="237"/>
      <c r="I385" s="237"/>
      <c r="J385" s="212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  <c r="AA385" s="237"/>
      <c r="AB385" s="237"/>
      <c r="AC385" s="237"/>
    </row>
    <row r="386">
      <c r="A386" s="237"/>
      <c r="B386" s="237"/>
      <c r="C386" s="237"/>
      <c r="D386" s="237"/>
      <c r="E386" s="237"/>
      <c r="F386" s="237"/>
      <c r="G386" s="237"/>
      <c r="H386" s="237"/>
      <c r="I386" s="237"/>
      <c r="J386" s="212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  <c r="AA386" s="237"/>
      <c r="AB386" s="237"/>
      <c r="AC386" s="237"/>
    </row>
    <row r="387">
      <c r="A387" s="237"/>
      <c r="B387" s="237"/>
      <c r="C387" s="237"/>
      <c r="D387" s="237"/>
      <c r="E387" s="237"/>
      <c r="F387" s="237"/>
      <c r="G387" s="237"/>
      <c r="H387" s="237"/>
      <c r="I387" s="237"/>
      <c r="J387" s="212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  <c r="AA387" s="237"/>
      <c r="AB387" s="237"/>
      <c r="AC387" s="237"/>
    </row>
    <row r="388">
      <c r="A388" s="237"/>
      <c r="B388" s="237"/>
      <c r="C388" s="237"/>
      <c r="D388" s="237"/>
      <c r="E388" s="237"/>
      <c r="F388" s="237"/>
      <c r="G388" s="237"/>
      <c r="H388" s="237"/>
      <c r="I388" s="237"/>
      <c r="J388" s="212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  <c r="AA388" s="237"/>
      <c r="AB388" s="237"/>
      <c r="AC388" s="237"/>
    </row>
    <row r="389">
      <c r="A389" s="237"/>
      <c r="B389" s="237"/>
      <c r="C389" s="237"/>
      <c r="D389" s="237"/>
      <c r="E389" s="237"/>
      <c r="F389" s="237"/>
      <c r="G389" s="237"/>
      <c r="H389" s="237"/>
      <c r="I389" s="237"/>
      <c r="J389" s="212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  <c r="AA389" s="237"/>
      <c r="AB389" s="237"/>
      <c r="AC389" s="237"/>
    </row>
    <row r="390">
      <c r="A390" s="237"/>
      <c r="B390" s="237"/>
      <c r="C390" s="237"/>
      <c r="D390" s="237"/>
      <c r="E390" s="237"/>
      <c r="F390" s="237"/>
      <c r="G390" s="237"/>
      <c r="H390" s="237"/>
      <c r="I390" s="237"/>
      <c r="J390" s="212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  <c r="AA390" s="237"/>
      <c r="AB390" s="237"/>
      <c r="AC390" s="237"/>
    </row>
    <row r="391">
      <c r="A391" s="237"/>
      <c r="B391" s="237"/>
      <c r="C391" s="237"/>
      <c r="D391" s="237"/>
      <c r="E391" s="237"/>
      <c r="F391" s="237"/>
      <c r="G391" s="237"/>
      <c r="H391" s="237"/>
      <c r="I391" s="237"/>
      <c r="J391" s="212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  <c r="AA391" s="237"/>
      <c r="AB391" s="237"/>
      <c r="AC391" s="237"/>
    </row>
    <row r="392">
      <c r="A392" s="237"/>
      <c r="B392" s="237"/>
      <c r="C392" s="237"/>
      <c r="D392" s="237"/>
      <c r="E392" s="237"/>
      <c r="F392" s="237"/>
      <c r="G392" s="237"/>
      <c r="H392" s="237"/>
      <c r="I392" s="237"/>
      <c r="J392" s="212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  <c r="AA392" s="237"/>
      <c r="AB392" s="237"/>
      <c r="AC392" s="237"/>
    </row>
    <row r="393">
      <c r="A393" s="237"/>
      <c r="B393" s="237"/>
      <c r="C393" s="237"/>
      <c r="D393" s="237"/>
      <c r="E393" s="237"/>
      <c r="F393" s="237"/>
      <c r="G393" s="237"/>
      <c r="H393" s="237"/>
      <c r="I393" s="237"/>
      <c r="J393" s="212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  <c r="AA393" s="237"/>
      <c r="AB393" s="237"/>
      <c r="AC393" s="237"/>
    </row>
    <row r="394">
      <c r="A394" s="237"/>
      <c r="B394" s="237"/>
      <c r="C394" s="237"/>
      <c r="D394" s="237"/>
      <c r="E394" s="237"/>
      <c r="F394" s="237"/>
      <c r="G394" s="237"/>
      <c r="H394" s="237"/>
      <c r="I394" s="237"/>
      <c r="J394" s="212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  <c r="AA394" s="237"/>
      <c r="AB394" s="237"/>
      <c r="AC394" s="237"/>
    </row>
    <row r="395">
      <c r="A395" s="237"/>
      <c r="B395" s="237"/>
      <c r="C395" s="237"/>
      <c r="D395" s="237"/>
      <c r="E395" s="237"/>
      <c r="F395" s="237"/>
      <c r="G395" s="237"/>
      <c r="H395" s="237"/>
      <c r="I395" s="237"/>
      <c r="J395" s="212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  <c r="AA395" s="237"/>
      <c r="AB395" s="237"/>
      <c r="AC395" s="237"/>
    </row>
    <row r="396">
      <c r="A396" s="237"/>
      <c r="B396" s="237"/>
      <c r="C396" s="237"/>
      <c r="D396" s="237"/>
      <c r="E396" s="237"/>
      <c r="F396" s="237"/>
      <c r="G396" s="237"/>
      <c r="H396" s="237"/>
      <c r="I396" s="237"/>
      <c r="J396" s="212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  <c r="AA396" s="237"/>
      <c r="AB396" s="237"/>
      <c r="AC396" s="237"/>
    </row>
    <row r="397">
      <c r="A397" s="237"/>
      <c r="B397" s="237"/>
      <c r="C397" s="237"/>
      <c r="D397" s="237"/>
      <c r="E397" s="237"/>
      <c r="F397" s="237"/>
      <c r="G397" s="237"/>
      <c r="H397" s="237"/>
      <c r="I397" s="237"/>
      <c r="J397" s="212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  <c r="AA397" s="237"/>
      <c r="AB397" s="237"/>
      <c r="AC397" s="237"/>
    </row>
    <row r="398">
      <c r="A398" s="237"/>
      <c r="B398" s="237"/>
      <c r="C398" s="237"/>
      <c r="D398" s="237"/>
      <c r="E398" s="237"/>
      <c r="F398" s="237"/>
      <c r="G398" s="237"/>
      <c r="H398" s="237"/>
      <c r="I398" s="237"/>
      <c r="J398" s="212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  <c r="AA398" s="237"/>
      <c r="AB398" s="237"/>
      <c r="AC398" s="237"/>
    </row>
    <row r="399">
      <c r="A399" s="237"/>
      <c r="B399" s="237"/>
      <c r="C399" s="237"/>
      <c r="D399" s="237"/>
      <c r="E399" s="237"/>
      <c r="F399" s="237"/>
      <c r="G399" s="237"/>
      <c r="H399" s="237"/>
      <c r="I399" s="237"/>
      <c r="J399" s="212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  <c r="AA399" s="237"/>
      <c r="AB399" s="237"/>
      <c r="AC399" s="237"/>
    </row>
    <row r="400">
      <c r="A400" s="237"/>
      <c r="B400" s="237"/>
      <c r="C400" s="237"/>
      <c r="D400" s="237"/>
      <c r="E400" s="237"/>
      <c r="F400" s="237"/>
      <c r="G400" s="237"/>
      <c r="H400" s="237"/>
      <c r="I400" s="237"/>
      <c r="J400" s="212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  <c r="AA400" s="237"/>
      <c r="AB400" s="237"/>
      <c r="AC400" s="237"/>
    </row>
    <row r="401">
      <c r="A401" s="237"/>
      <c r="B401" s="237"/>
      <c r="C401" s="237"/>
      <c r="D401" s="237"/>
      <c r="E401" s="237"/>
      <c r="F401" s="237"/>
      <c r="G401" s="237"/>
      <c r="H401" s="237"/>
      <c r="I401" s="237"/>
      <c r="J401" s="212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  <c r="AA401" s="237"/>
      <c r="AB401" s="237"/>
      <c r="AC401" s="237"/>
    </row>
    <row r="402">
      <c r="A402" s="237"/>
      <c r="B402" s="237"/>
      <c r="C402" s="237"/>
      <c r="D402" s="237"/>
      <c r="E402" s="237"/>
      <c r="F402" s="237"/>
      <c r="G402" s="237"/>
      <c r="H402" s="237"/>
      <c r="I402" s="237"/>
      <c r="J402" s="212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  <c r="AA402" s="237"/>
      <c r="AB402" s="237"/>
      <c r="AC402" s="237"/>
    </row>
    <row r="403">
      <c r="A403" s="237"/>
      <c r="B403" s="237"/>
      <c r="C403" s="237"/>
      <c r="D403" s="237"/>
      <c r="E403" s="237"/>
      <c r="F403" s="237"/>
      <c r="G403" s="237"/>
      <c r="H403" s="237"/>
      <c r="I403" s="237"/>
      <c r="J403" s="212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  <c r="AA403" s="237"/>
      <c r="AB403" s="237"/>
      <c r="AC403" s="237"/>
    </row>
    <row r="404">
      <c r="A404" s="237"/>
      <c r="B404" s="237"/>
      <c r="C404" s="237"/>
      <c r="D404" s="237"/>
      <c r="E404" s="237"/>
      <c r="F404" s="237"/>
      <c r="G404" s="237"/>
      <c r="H404" s="237"/>
      <c r="I404" s="237"/>
      <c r="J404" s="212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  <c r="AA404" s="237"/>
      <c r="AB404" s="237"/>
      <c r="AC404" s="237"/>
    </row>
    <row r="405">
      <c r="A405" s="237"/>
      <c r="B405" s="237"/>
      <c r="C405" s="237"/>
      <c r="D405" s="237"/>
      <c r="E405" s="237"/>
      <c r="F405" s="237"/>
      <c r="G405" s="237"/>
      <c r="H405" s="237"/>
      <c r="I405" s="237"/>
      <c r="J405" s="212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  <c r="AA405" s="237"/>
      <c r="AB405" s="237"/>
      <c r="AC405" s="237"/>
    </row>
    <row r="406">
      <c r="A406" s="237"/>
      <c r="B406" s="237"/>
      <c r="C406" s="237"/>
      <c r="D406" s="237"/>
      <c r="E406" s="237"/>
      <c r="F406" s="237"/>
      <c r="G406" s="237"/>
      <c r="H406" s="237"/>
      <c r="I406" s="237"/>
      <c r="J406" s="212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  <c r="AA406" s="237"/>
      <c r="AB406" s="237"/>
      <c r="AC406" s="237"/>
    </row>
    <row r="407">
      <c r="A407" s="237"/>
      <c r="B407" s="237"/>
      <c r="C407" s="237"/>
      <c r="D407" s="237"/>
      <c r="E407" s="237"/>
      <c r="F407" s="237"/>
      <c r="G407" s="237"/>
      <c r="H407" s="237"/>
      <c r="I407" s="237"/>
      <c r="J407" s="212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  <c r="AA407" s="237"/>
      <c r="AB407" s="237"/>
      <c r="AC407" s="237"/>
    </row>
    <row r="408">
      <c r="A408" s="237"/>
      <c r="B408" s="237"/>
      <c r="C408" s="237"/>
      <c r="D408" s="237"/>
      <c r="E408" s="237"/>
      <c r="F408" s="237"/>
      <c r="G408" s="237"/>
      <c r="H408" s="237"/>
      <c r="I408" s="237"/>
      <c r="J408" s="212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  <c r="AA408" s="237"/>
      <c r="AB408" s="237"/>
      <c r="AC408" s="237"/>
    </row>
    <row r="409">
      <c r="A409" s="237"/>
      <c r="B409" s="237"/>
      <c r="C409" s="237"/>
      <c r="D409" s="237"/>
      <c r="E409" s="237"/>
      <c r="F409" s="237"/>
      <c r="G409" s="237"/>
      <c r="H409" s="237"/>
      <c r="I409" s="237"/>
      <c r="J409" s="212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  <c r="AA409" s="237"/>
      <c r="AB409" s="237"/>
      <c r="AC409" s="237"/>
    </row>
    <row r="410">
      <c r="A410" s="237"/>
      <c r="B410" s="237"/>
      <c r="C410" s="237"/>
      <c r="D410" s="237"/>
      <c r="E410" s="237"/>
      <c r="F410" s="237"/>
      <c r="G410" s="237"/>
      <c r="H410" s="237"/>
      <c r="I410" s="237"/>
      <c r="J410" s="212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  <c r="AA410" s="237"/>
      <c r="AB410" s="237"/>
      <c r="AC410" s="237"/>
    </row>
    <row r="411">
      <c r="A411" s="237"/>
      <c r="B411" s="237"/>
      <c r="C411" s="237"/>
      <c r="D411" s="237"/>
      <c r="E411" s="237"/>
      <c r="F411" s="237"/>
      <c r="G411" s="237"/>
      <c r="H411" s="237"/>
      <c r="I411" s="237"/>
      <c r="J411" s="212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  <c r="AA411" s="237"/>
      <c r="AB411" s="237"/>
      <c r="AC411" s="237"/>
    </row>
    <row r="412">
      <c r="A412" s="237"/>
      <c r="B412" s="237"/>
      <c r="C412" s="237"/>
      <c r="D412" s="237"/>
      <c r="E412" s="237"/>
      <c r="F412" s="237"/>
      <c r="G412" s="237"/>
      <c r="H412" s="237"/>
      <c r="I412" s="237"/>
      <c r="J412" s="212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  <c r="AA412" s="237"/>
      <c r="AB412" s="237"/>
      <c r="AC412" s="237"/>
    </row>
    <row r="413">
      <c r="A413" s="237"/>
      <c r="B413" s="237"/>
      <c r="C413" s="237"/>
      <c r="D413" s="237"/>
      <c r="E413" s="237"/>
      <c r="F413" s="237"/>
      <c r="G413" s="237"/>
      <c r="H413" s="237"/>
      <c r="I413" s="237"/>
      <c r="J413" s="212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  <c r="AA413" s="237"/>
      <c r="AB413" s="237"/>
      <c r="AC413" s="237"/>
    </row>
    <row r="414">
      <c r="A414" s="237"/>
      <c r="B414" s="237"/>
      <c r="C414" s="237"/>
      <c r="D414" s="237"/>
      <c r="E414" s="237"/>
      <c r="F414" s="237"/>
      <c r="G414" s="237"/>
      <c r="H414" s="237"/>
      <c r="I414" s="237"/>
      <c r="J414" s="212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  <c r="AA414" s="237"/>
      <c r="AB414" s="237"/>
      <c r="AC414" s="237"/>
    </row>
    <row r="415">
      <c r="A415" s="237"/>
      <c r="B415" s="237"/>
      <c r="C415" s="237"/>
      <c r="D415" s="237"/>
      <c r="E415" s="237"/>
      <c r="F415" s="237"/>
      <c r="G415" s="237"/>
      <c r="H415" s="237"/>
      <c r="I415" s="237"/>
      <c r="J415" s="212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  <c r="AA415" s="237"/>
      <c r="AB415" s="237"/>
      <c r="AC415" s="237"/>
    </row>
    <row r="416">
      <c r="A416" s="237"/>
      <c r="B416" s="237"/>
      <c r="C416" s="237"/>
      <c r="D416" s="237"/>
      <c r="E416" s="237"/>
      <c r="F416" s="237"/>
      <c r="G416" s="237"/>
      <c r="H416" s="237"/>
      <c r="I416" s="237"/>
      <c r="J416" s="212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  <c r="AA416" s="237"/>
      <c r="AB416" s="237"/>
      <c r="AC416" s="237"/>
    </row>
    <row r="417">
      <c r="A417" s="237"/>
      <c r="B417" s="237"/>
      <c r="C417" s="237"/>
      <c r="D417" s="237"/>
      <c r="E417" s="237"/>
      <c r="F417" s="237"/>
      <c r="G417" s="237"/>
      <c r="H417" s="237"/>
      <c r="I417" s="237"/>
      <c r="J417" s="212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  <c r="AA417" s="237"/>
      <c r="AB417" s="237"/>
      <c r="AC417" s="237"/>
    </row>
    <row r="418">
      <c r="A418" s="237"/>
      <c r="B418" s="237"/>
      <c r="C418" s="237"/>
      <c r="D418" s="237"/>
      <c r="E418" s="237"/>
      <c r="F418" s="237"/>
      <c r="G418" s="237"/>
      <c r="H418" s="237"/>
      <c r="I418" s="237"/>
      <c r="J418" s="212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  <c r="AA418" s="237"/>
      <c r="AB418" s="237"/>
      <c r="AC418" s="237"/>
    </row>
    <row r="419">
      <c r="A419" s="237"/>
      <c r="B419" s="237"/>
      <c r="C419" s="237"/>
      <c r="D419" s="237"/>
      <c r="E419" s="237"/>
      <c r="F419" s="237"/>
      <c r="G419" s="237"/>
      <c r="H419" s="237"/>
      <c r="I419" s="237"/>
      <c r="J419" s="212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  <c r="AA419" s="237"/>
      <c r="AB419" s="237"/>
      <c r="AC419" s="237"/>
    </row>
    <row r="420">
      <c r="A420" s="237"/>
      <c r="B420" s="237"/>
      <c r="C420" s="237"/>
      <c r="D420" s="237"/>
      <c r="E420" s="237"/>
      <c r="F420" s="237"/>
      <c r="G420" s="237"/>
      <c r="H420" s="237"/>
      <c r="I420" s="237"/>
      <c r="J420" s="212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  <c r="AA420" s="237"/>
      <c r="AB420" s="237"/>
      <c r="AC420" s="237"/>
    </row>
    <row r="421">
      <c r="A421" s="237"/>
      <c r="B421" s="237"/>
      <c r="C421" s="237"/>
      <c r="D421" s="237"/>
      <c r="E421" s="237"/>
      <c r="F421" s="237"/>
      <c r="G421" s="237"/>
      <c r="H421" s="237"/>
      <c r="I421" s="237"/>
      <c r="J421" s="212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  <c r="AA421" s="237"/>
      <c r="AB421" s="237"/>
      <c r="AC421" s="237"/>
    </row>
    <row r="422">
      <c r="A422" s="237"/>
      <c r="B422" s="237"/>
      <c r="C422" s="237"/>
      <c r="D422" s="237"/>
      <c r="E422" s="237"/>
      <c r="F422" s="237"/>
      <c r="G422" s="237"/>
      <c r="H422" s="237"/>
      <c r="I422" s="237"/>
      <c r="J422" s="212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  <c r="AA422" s="237"/>
      <c r="AB422" s="237"/>
      <c r="AC422" s="237"/>
    </row>
    <row r="423">
      <c r="A423" s="237"/>
      <c r="B423" s="237"/>
      <c r="C423" s="237"/>
      <c r="D423" s="237"/>
      <c r="E423" s="237"/>
      <c r="F423" s="237"/>
      <c r="G423" s="237"/>
      <c r="H423" s="237"/>
      <c r="I423" s="237"/>
      <c r="J423" s="212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  <c r="AA423" s="237"/>
      <c r="AB423" s="237"/>
      <c r="AC423" s="237"/>
    </row>
    <row r="424">
      <c r="A424" s="237"/>
      <c r="B424" s="237"/>
      <c r="C424" s="237"/>
      <c r="D424" s="237"/>
      <c r="E424" s="237"/>
      <c r="F424" s="237"/>
      <c r="G424" s="237"/>
      <c r="H424" s="237"/>
      <c r="I424" s="237"/>
      <c r="J424" s="212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  <c r="AA424" s="237"/>
      <c r="AB424" s="237"/>
      <c r="AC424" s="237"/>
    </row>
    <row r="425">
      <c r="A425" s="237"/>
      <c r="B425" s="237"/>
      <c r="C425" s="237"/>
      <c r="D425" s="237"/>
      <c r="E425" s="237"/>
      <c r="F425" s="237"/>
      <c r="G425" s="237"/>
      <c r="H425" s="237"/>
      <c r="I425" s="237"/>
      <c r="J425" s="212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  <c r="AA425" s="237"/>
      <c r="AB425" s="237"/>
      <c r="AC425" s="237"/>
    </row>
    <row r="426">
      <c r="A426" s="237"/>
      <c r="B426" s="237"/>
      <c r="C426" s="237"/>
      <c r="D426" s="237"/>
      <c r="E426" s="237"/>
      <c r="F426" s="237"/>
      <c r="G426" s="237"/>
      <c r="H426" s="237"/>
      <c r="I426" s="237"/>
      <c r="J426" s="212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  <c r="AA426" s="237"/>
      <c r="AB426" s="237"/>
      <c r="AC426" s="237"/>
    </row>
    <row r="427">
      <c r="A427" s="237"/>
      <c r="B427" s="237"/>
      <c r="C427" s="237"/>
      <c r="D427" s="237"/>
      <c r="E427" s="237"/>
      <c r="F427" s="237"/>
      <c r="G427" s="237"/>
      <c r="H427" s="237"/>
      <c r="I427" s="237"/>
      <c r="J427" s="212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  <c r="AA427" s="237"/>
      <c r="AB427" s="237"/>
      <c r="AC427" s="237"/>
    </row>
    <row r="428">
      <c r="A428" s="237"/>
      <c r="B428" s="237"/>
      <c r="C428" s="237"/>
      <c r="D428" s="237"/>
      <c r="E428" s="237"/>
      <c r="F428" s="237"/>
      <c r="G428" s="237"/>
      <c r="H428" s="237"/>
      <c r="I428" s="237"/>
      <c r="J428" s="212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  <c r="AA428" s="237"/>
      <c r="AB428" s="237"/>
      <c r="AC428" s="237"/>
    </row>
    <row r="429">
      <c r="A429" s="237"/>
      <c r="B429" s="237"/>
      <c r="C429" s="237"/>
      <c r="D429" s="237"/>
      <c r="E429" s="237"/>
      <c r="F429" s="237"/>
      <c r="G429" s="237"/>
      <c r="H429" s="237"/>
      <c r="I429" s="237"/>
      <c r="J429" s="212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  <c r="AA429" s="237"/>
      <c r="AB429" s="237"/>
      <c r="AC429" s="237"/>
    </row>
    <row r="430">
      <c r="A430" s="237"/>
      <c r="B430" s="237"/>
      <c r="C430" s="237"/>
      <c r="D430" s="237"/>
      <c r="E430" s="237"/>
      <c r="F430" s="237"/>
      <c r="G430" s="237"/>
      <c r="H430" s="237"/>
      <c r="I430" s="237"/>
      <c r="J430" s="212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  <c r="AA430" s="237"/>
      <c r="AB430" s="237"/>
      <c r="AC430" s="237"/>
    </row>
    <row r="431">
      <c r="A431" s="237"/>
      <c r="B431" s="237"/>
      <c r="C431" s="237"/>
      <c r="D431" s="237"/>
      <c r="E431" s="237"/>
      <c r="F431" s="237"/>
      <c r="G431" s="237"/>
      <c r="H431" s="237"/>
      <c r="I431" s="237"/>
      <c r="J431" s="212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  <c r="AA431" s="237"/>
      <c r="AB431" s="237"/>
      <c r="AC431" s="237"/>
    </row>
    <row r="432">
      <c r="A432" s="237"/>
      <c r="B432" s="237"/>
      <c r="C432" s="237"/>
      <c r="D432" s="237"/>
      <c r="E432" s="237"/>
      <c r="F432" s="237"/>
      <c r="G432" s="237"/>
      <c r="H432" s="237"/>
      <c r="I432" s="237"/>
      <c r="J432" s="212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  <c r="AA432" s="237"/>
      <c r="AB432" s="237"/>
      <c r="AC432" s="237"/>
    </row>
    <row r="433">
      <c r="A433" s="237"/>
      <c r="B433" s="237"/>
      <c r="C433" s="237"/>
      <c r="D433" s="237"/>
      <c r="E433" s="237"/>
      <c r="F433" s="237"/>
      <c r="G433" s="237"/>
      <c r="H433" s="237"/>
      <c r="I433" s="237"/>
      <c r="J433" s="212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  <c r="AA433" s="237"/>
      <c r="AB433" s="237"/>
      <c r="AC433" s="237"/>
    </row>
    <row r="434">
      <c r="A434" s="237"/>
      <c r="B434" s="237"/>
      <c r="C434" s="237"/>
      <c r="D434" s="237"/>
      <c r="E434" s="237"/>
      <c r="F434" s="237"/>
      <c r="G434" s="237"/>
      <c r="H434" s="237"/>
      <c r="I434" s="237"/>
      <c r="J434" s="212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  <c r="AA434" s="237"/>
      <c r="AB434" s="237"/>
      <c r="AC434" s="237"/>
    </row>
    <row r="435">
      <c r="A435" s="237"/>
      <c r="B435" s="237"/>
      <c r="C435" s="237"/>
      <c r="D435" s="237"/>
      <c r="E435" s="237"/>
      <c r="F435" s="237"/>
      <c r="G435" s="237"/>
      <c r="H435" s="237"/>
      <c r="I435" s="237"/>
      <c r="J435" s="212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  <c r="AA435" s="237"/>
      <c r="AB435" s="237"/>
      <c r="AC435" s="237"/>
    </row>
    <row r="436">
      <c r="A436" s="237"/>
      <c r="B436" s="237"/>
      <c r="C436" s="237"/>
      <c r="D436" s="237"/>
      <c r="E436" s="237"/>
      <c r="F436" s="237"/>
      <c r="G436" s="237"/>
      <c r="H436" s="237"/>
      <c r="I436" s="237"/>
      <c r="J436" s="212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  <c r="AA436" s="237"/>
      <c r="AB436" s="237"/>
      <c r="AC436" s="237"/>
    </row>
    <row r="437">
      <c r="A437" s="237"/>
      <c r="B437" s="237"/>
      <c r="C437" s="237"/>
      <c r="D437" s="237"/>
      <c r="E437" s="237"/>
      <c r="F437" s="237"/>
      <c r="G437" s="237"/>
      <c r="H437" s="237"/>
      <c r="I437" s="237"/>
      <c r="J437" s="212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  <c r="AA437" s="237"/>
      <c r="AB437" s="237"/>
      <c r="AC437" s="237"/>
    </row>
    <row r="438">
      <c r="A438" s="237"/>
      <c r="B438" s="237"/>
      <c r="C438" s="237"/>
      <c r="D438" s="237"/>
      <c r="E438" s="237"/>
      <c r="F438" s="237"/>
      <c r="G438" s="237"/>
      <c r="H438" s="237"/>
      <c r="I438" s="237"/>
      <c r="J438" s="212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  <c r="AA438" s="237"/>
      <c r="AB438" s="237"/>
      <c r="AC438" s="237"/>
    </row>
    <row r="439">
      <c r="A439" s="237"/>
      <c r="B439" s="237"/>
      <c r="C439" s="237"/>
      <c r="D439" s="237"/>
      <c r="E439" s="237"/>
      <c r="F439" s="237"/>
      <c r="G439" s="237"/>
      <c r="H439" s="237"/>
      <c r="I439" s="237"/>
      <c r="J439" s="212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  <c r="AA439" s="237"/>
      <c r="AB439" s="237"/>
      <c r="AC439" s="237"/>
    </row>
    <row r="440">
      <c r="A440" s="237"/>
      <c r="B440" s="237"/>
      <c r="C440" s="237"/>
      <c r="D440" s="237"/>
      <c r="E440" s="237"/>
      <c r="F440" s="237"/>
      <c r="G440" s="237"/>
      <c r="H440" s="237"/>
      <c r="I440" s="237"/>
      <c r="J440" s="212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  <c r="AA440" s="237"/>
      <c r="AB440" s="237"/>
      <c r="AC440" s="237"/>
    </row>
    <row r="441">
      <c r="A441" s="237"/>
      <c r="B441" s="237"/>
      <c r="C441" s="237"/>
      <c r="D441" s="237"/>
      <c r="E441" s="237"/>
      <c r="F441" s="237"/>
      <c r="G441" s="237"/>
      <c r="H441" s="237"/>
      <c r="I441" s="237"/>
      <c r="J441" s="212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  <c r="AA441" s="237"/>
      <c r="AB441" s="237"/>
      <c r="AC441" s="237"/>
    </row>
    <row r="442">
      <c r="A442" s="237"/>
      <c r="B442" s="237"/>
      <c r="C442" s="237"/>
      <c r="D442" s="237"/>
      <c r="E442" s="237"/>
      <c r="F442" s="237"/>
      <c r="G442" s="237"/>
      <c r="H442" s="237"/>
      <c r="I442" s="237"/>
      <c r="J442" s="212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  <c r="AA442" s="237"/>
      <c r="AB442" s="237"/>
      <c r="AC442" s="237"/>
    </row>
    <row r="443">
      <c r="A443" s="237"/>
      <c r="B443" s="237"/>
      <c r="C443" s="237"/>
      <c r="D443" s="237"/>
      <c r="E443" s="237"/>
      <c r="F443" s="237"/>
      <c r="G443" s="237"/>
      <c r="H443" s="237"/>
      <c r="I443" s="237"/>
      <c r="J443" s="212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  <c r="AA443" s="237"/>
      <c r="AB443" s="237"/>
      <c r="AC443" s="237"/>
    </row>
    <row r="444">
      <c r="A444" s="237"/>
      <c r="B444" s="237"/>
      <c r="C444" s="237"/>
      <c r="D444" s="237"/>
      <c r="E444" s="237"/>
      <c r="F444" s="237"/>
      <c r="G444" s="237"/>
      <c r="H444" s="237"/>
      <c r="I444" s="237"/>
      <c r="J444" s="212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  <c r="AA444" s="237"/>
      <c r="AB444" s="237"/>
      <c r="AC444" s="237"/>
    </row>
    <row r="445">
      <c r="A445" s="237"/>
      <c r="B445" s="237"/>
      <c r="C445" s="237"/>
      <c r="D445" s="237"/>
      <c r="E445" s="237"/>
      <c r="F445" s="237"/>
      <c r="G445" s="237"/>
      <c r="H445" s="237"/>
      <c r="I445" s="237"/>
      <c r="J445" s="212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  <c r="AA445" s="237"/>
      <c r="AB445" s="237"/>
      <c r="AC445" s="237"/>
    </row>
    <row r="446">
      <c r="A446" s="237"/>
      <c r="B446" s="237"/>
      <c r="C446" s="237"/>
      <c r="D446" s="237"/>
      <c r="E446" s="237"/>
      <c r="F446" s="237"/>
      <c r="G446" s="237"/>
      <c r="H446" s="237"/>
      <c r="I446" s="237"/>
      <c r="J446" s="212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  <c r="AA446" s="237"/>
      <c r="AB446" s="237"/>
      <c r="AC446" s="237"/>
    </row>
    <row r="447">
      <c r="A447" s="237"/>
      <c r="B447" s="237"/>
      <c r="C447" s="237"/>
      <c r="D447" s="237"/>
      <c r="E447" s="237"/>
      <c r="F447" s="237"/>
      <c r="G447" s="237"/>
      <c r="H447" s="237"/>
      <c r="I447" s="237"/>
      <c r="J447" s="212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  <c r="AA447" s="237"/>
      <c r="AB447" s="237"/>
      <c r="AC447" s="237"/>
    </row>
    <row r="448">
      <c r="A448" s="237"/>
      <c r="B448" s="237"/>
      <c r="C448" s="237"/>
      <c r="D448" s="237"/>
      <c r="E448" s="237"/>
      <c r="F448" s="237"/>
      <c r="G448" s="237"/>
      <c r="H448" s="237"/>
      <c r="I448" s="237"/>
      <c r="J448" s="212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  <c r="AA448" s="237"/>
      <c r="AB448" s="237"/>
      <c r="AC448" s="237"/>
    </row>
    <row r="449">
      <c r="A449" s="237"/>
      <c r="B449" s="237"/>
      <c r="C449" s="237"/>
      <c r="D449" s="237"/>
      <c r="E449" s="237"/>
      <c r="F449" s="237"/>
      <c r="G449" s="237"/>
      <c r="H449" s="237"/>
      <c r="I449" s="237"/>
      <c r="J449" s="212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  <c r="AA449" s="237"/>
      <c r="AB449" s="237"/>
      <c r="AC449" s="237"/>
    </row>
    <row r="450">
      <c r="A450" s="237"/>
      <c r="B450" s="237"/>
      <c r="C450" s="237"/>
      <c r="D450" s="237"/>
      <c r="E450" s="237"/>
      <c r="F450" s="237"/>
      <c r="G450" s="237"/>
      <c r="H450" s="237"/>
      <c r="I450" s="237"/>
      <c r="J450" s="212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  <c r="AA450" s="237"/>
      <c r="AB450" s="237"/>
      <c r="AC450" s="237"/>
    </row>
    <row r="451">
      <c r="A451" s="237"/>
      <c r="B451" s="237"/>
      <c r="C451" s="237"/>
      <c r="D451" s="237"/>
      <c r="E451" s="237"/>
      <c r="F451" s="237"/>
      <c r="G451" s="237"/>
      <c r="H451" s="237"/>
      <c r="I451" s="237"/>
      <c r="J451" s="212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  <c r="AA451" s="237"/>
      <c r="AB451" s="237"/>
      <c r="AC451" s="237"/>
    </row>
    <row r="452">
      <c r="A452" s="237"/>
      <c r="B452" s="237"/>
      <c r="C452" s="237"/>
      <c r="D452" s="237"/>
      <c r="E452" s="237"/>
      <c r="F452" s="237"/>
      <c r="G452" s="237"/>
      <c r="H452" s="237"/>
      <c r="I452" s="237"/>
      <c r="J452" s="212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  <c r="AA452" s="237"/>
      <c r="AB452" s="237"/>
      <c r="AC452" s="237"/>
    </row>
    <row r="453">
      <c r="A453" s="237"/>
      <c r="B453" s="237"/>
      <c r="C453" s="237"/>
      <c r="D453" s="237"/>
      <c r="E453" s="237"/>
      <c r="F453" s="237"/>
      <c r="G453" s="237"/>
      <c r="H453" s="237"/>
      <c r="I453" s="237"/>
      <c r="J453" s="212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  <c r="AA453" s="237"/>
      <c r="AB453" s="237"/>
      <c r="AC453" s="237"/>
    </row>
    <row r="454">
      <c r="A454" s="237"/>
      <c r="B454" s="237"/>
      <c r="C454" s="237"/>
      <c r="D454" s="237"/>
      <c r="E454" s="237"/>
      <c r="F454" s="237"/>
      <c r="G454" s="237"/>
      <c r="H454" s="237"/>
      <c r="I454" s="237"/>
      <c r="J454" s="212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  <c r="AA454" s="237"/>
      <c r="AB454" s="237"/>
      <c r="AC454" s="237"/>
    </row>
    <row r="455">
      <c r="A455" s="237"/>
      <c r="B455" s="237"/>
      <c r="C455" s="237"/>
      <c r="D455" s="237"/>
      <c r="E455" s="237"/>
      <c r="F455" s="237"/>
      <c r="G455" s="237"/>
      <c r="H455" s="237"/>
      <c r="I455" s="237"/>
      <c r="J455" s="212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  <c r="AA455" s="237"/>
      <c r="AB455" s="237"/>
      <c r="AC455" s="237"/>
    </row>
    <row r="456">
      <c r="A456" s="237"/>
      <c r="B456" s="237"/>
      <c r="C456" s="237"/>
      <c r="D456" s="237"/>
      <c r="E456" s="237"/>
      <c r="F456" s="237"/>
      <c r="G456" s="237"/>
      <c r="H456" s="237"/>
      <c r="I456" s="237"/>
      <c r="J456" s="212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  <c r="AA456" s="237"/>
      <c r="AB456" s="237"/>
      <c r="AC456" s="237"/>
    </row>
    <row r="457">
      <c r="A457" s="237"/>
      <c r="B457" s="237"/>
      <c r="C457" s="237"/>
      <c r="D457" s="237"/>
      <c r="E457" s="237"/>
      <c r="F457" s="237"/>
      <c r="G457" s="237"/>
      <c r="H457" s="237"/>
      <c r="I457" s="237"/>
      <c r="J457" s="212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  <c r="AA457" s="237"/>
      <c r="AB457" s="237"/>
      <c r="AC457" s="237"/>
    </row>
    <row r="458">
      <c r="A458" s="237"/>
      <c r="B458" s="237"/>
      <c r="C458" s="237"/>
      <c r="D458" s="237"/>
      <c r="E458" s="237"/>
      <c r="F458" s="237"/>
      <c r="G458" s="237"/>
      <c r="H458" s="237"/>
      <c r="I458" s="237"/>
      <c r="J458" s="212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  <c r="AA458" s="237"/>
      <c r="AB458" s="237"/>
      <c r="AC458" s="237"/>
    </row>
    <row r="459">
      <c r="A459" s="237"/>
      <c r="B459" s="237"/>
      <c r="C459" s="237"/>
      <c r="D459" s="237"/>
      <c r="E459" s="237"/>
      <c r="F459" s="237"/>
      <c r="G459" s="237"/>
      <c r="H459" s="237"/>
      <c r="I459" s="237"/>
      <c r="J459" s="212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  <c r="AA459" s="237"/>
      <c r="AB459" s="237"/>
      <c r="AC459" s="237"/>
    </row>
    <row r="460">
      <c r="A460" s="237"/>
      <c r="B460" s="237"/>
      <c r="C460" s="237"/>
      <c r="D460" s="237"/>
      <c r="E460" s="237"/>
      <c r="F460" s="237"/>
      <c r="G460" s="237"/>
      <c r="H460" s="237"/>
      <c r="I460" s="237"/>
      <c r="J460" s="212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  <c r="AA460" s="237"/>
      <c r="AB460" s="237"/>
      <c r="AC460" s="237"/>
    </row>
    <row r="461">
      <c r="A461" s="237"/>
      <c r="B461" s="237"/>
      <c r="C461" s="237"/>
      <c r="D461" s="237"/>
      <c r="E461" s="237"/>
      <c r="F461" s="237"/>
      <c r="G461" s="237"/>
      <c r="H461" s="237"/>
      <c r="I461" s="237"/>
      <c r="J461" s="212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  <c r="AA461" s="237"/>
      <c r="AB461" s="237"/>
      <c r="AC461" s="237"/>
    </row>
    <row r="462">
      <c r="A462" s="237"/>
      <c r="B462" s="237"/>
      <c r="C462" s="237"/>
      <c r="D462" s="237"/>
      <c r="E462" s="237"/>
      <c r="F462" s="237"/>
      <c r="G462" s="237"/>
      <c r="H462" s="237"/>
      <c r="I462" s="237"/>
      <c r="J462" s="212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  <c r="AA462" s="237"/>
      <c r="AB462" s="237"/>
      <c r="AC462" s="237"/>
    </row>
    <row r="463">
      <c r="A463" s="237"/>
      <c r="B463" s="237"/>
      <c r="C463" s="237"/>
      <c r="D463" s="237"/>
      <c r="E463" s="237"/>
      <c r="F463" s="237"/>
      <c r="G463" s="237"/>
      <c r="H463" s="237"/>
      <c r="I463" s="237"/>
      <c r="J463" s="212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  <c r="AA463" s="237"/>
      <c r="AB463" s="237"/>
      <c r="AC463" s="237"/>
    </row>
    <row r="464">
      <c r="A464" s="237"/>
      <c r="B464" s="237"/>
      <c r="C464" s="237"/>
      <c r="D464" s="237"/>
      <c r="E464" s="237"/>
      <c r="F464" s="237"/>
      <c r="G464" s="237"/>
      <c r="H464" s="237"/>
      <c r="I464" s="237"/>
      <c r="J464" s="212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  <c r="AA464" s="237"/>
      <c r="AB464" s="237"/>
      <c r="AC464" s="237"/>
    </row>
    <row r="465">
      <c r="A465" s="237"/>
      <c r="B465" s="237"/>
      <c r="C465" s="237"/>
      <c r="D465" s="237"/>
      <c r="E465" s="237"/>
      <c r="F465" s="237"/>
      <c r="G465" s="237"/>
      <c r="H465" s="237"/>
      <c r="I465" s="237"/>
      <c r="J465" s="212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  <c r="AA465" s="237"/>
      <c r="AB465" s="237"/>
      <c r="AC465" s="237"/>
    </row>
    <row r="466">
      <c r="A466" s="237"/>
      <c r="B466" s="237"/>
      <c r="C466" s="237"/>
      <c r="D466" s="237"/>
      <c r="E466" s="237"/>
      <c r="F466" s="237"/>
      <c r="G466" s="237"/>
      <c r="H466" s="237"/>
      <c r="I466" s="237"/>
      <c r="J466" s="212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  <c r="AA466" s="237"/>
      <c r="AB466" s="237"/>
      <c r="AC466" s="237"/>
    </row>
    <row r="467">
      <c r="A467" s="237"/>
      <c r="B467" s="237"/>
      <c r="C467" s="237"/>
      <c r="D467" s="237"/>
      <c r="E467" s="237"/>
      <c r="F467" s="237"/>
      <c r="G467" s="237"/>
      <c r="H467" s="237"/>
      <c r="I467" s="237"/>
      <c r="J467" s="212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  <c r="AA467" s="237"/>
      <c r="AB467" s="237"/>
      <c r="AC467" s="237"/>
    </row>
    <row r="468">
      <c r="A468" s="237"/>
      <c r="B468" s="237"/>
      <c r="C468" s="237"/>
      <c r="D468" s="237"/>
      <c r="E468" s="237"/>
      <c r="F468" s="237"/>
      <c r="G468" s="237"/>
      <c r="H468" s="237"/>
      <c r="I468" s="237"/>
      <c r="J468" s="212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  <c r="AA468" s="237"/>
      <c r="AB468" s="237"/>
      <c r="AC468" s="237"/>
    </row>
    <row r="469">
      <c r="A469" s="237"/>
      <c r="B469" s="237"/>
      <c r="C469" s="237"/>
      <c r="D469" s="237"/>
      <c r="E469" s="237"/>
      <c r="F469" s="237"/>
      <c r="G469" s="237"/>
      <c r="H469" s="237"/>
      <c r="I469" s="237"/>
      <c r="J469" s="212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  <c r="AA469" s="237"/>
      <c r="AB469" s="237"/>
      <c r="AC469" s="237"/>
    </row>
    <row r="470">
      <c r="A470" s="237"/>
      <c r="B470" s="237"/>
      <c r="C470" s="237"/>
      <c r="D470" s="237"/>
      <c r="E470" s="237"/>
      <c r="F470" s="237"/>
      <c r="G470" s="237"/>
      <c r="H470" s="237"/>
      <c r="I470" s="237"/>
      <c r="J470" s="212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  <c r="AA470" s="237"/>
      <c r="AB470" s="237"/>
      <c r="AC470" s="237"/>
    </row>
    <row r="471">
      <c r="A471" s="237"/>
      <c r="B471" s="237"/>
      <c r="C471" s="237"/>
      <c r="D471" s="237"/>
      <c r="E471" s="237"/>
      <c r="F471" s="237"/>
      <c r="G471" s="237"/>
      <c r="H471" s="237"/>
      <c r="I471" s="237"/>
      <c r="J471" s="212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  <c r="AA471" s="237"/>
      <c r="AB471" s="237"/>
      <c r="AC471" s="237"/>
    </row>
    <row r="472">
      <c r="A472" s="237"/>
      <c r="B472" s="237"/>
      <c r="C472" s="237"/>
      <c r="D472" s="237"/>
      <c r="E472" s="237"/>
      <c r="F472" s="237"/>
      <c r="G472" s="237"/>
      <c r="H472" s="237"/>
      <c r="I472" s="237"/>
      <c r="J472" s="212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  <c r="AA472" s="237"/>
      <c r="AB472" s="237"/>
      <c r="AC472" s="237"/>
    </row>
    <row r="473">
      <c r="A473" s="237"/>
      <c r="B473" s="237"/>
      <c r="C473" s="237"/>
      <c r="D473" s="237"/>
      <c r="E473" s="237"/>
      <c r="F473" s="237"/>
      <c r="G473" s="237"/>
      <c r="H473" s="237"/>
      <c r="I473" s="237"/>
      <c r="J473" s="212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  <c r="AA473" s="237"/>
      <c r="AB473" s="237"/>
      <c r="AC473" s="237"/>
    </row>
    <row r="474">
      <c r="A474" s="237"/>
      <c r="B474" s="237"/>
      <c r="C474" s="237"/>
      <c r="D474" s="237"/>
      <c r="E474" s="237"/>
      <c r="F474" s="237"/>
      <c r="G474" s="237"/>
      <c r="H474" s="237"/>
      <c r="I474" s="237"/>
      <c r="J474" s="212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  <c r="AA474" s="237"/>
      <c r="AB474" s="237"/>
      <c r="AC474" s="237"/>
    </row>
    <row r="475">
      <c r="A475" s="237"/>
      <c r="B475" s="237"/>
      <c r="C475" s="237"/>
      <c r="D475" s="237"/>
      <c r="E475" s="237"/>
      <c r="F475" s="237"/>
      <c r="G475" s="237"/>
      <c r="H475" s="237"/>
      <c r="I475" s="237"/>
      <c r="J475" s="212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  <c r="AA475" s="237"/>
      <c r="AB475" s="237"/>
      <c r="AC475" s="237"/>
    </row>
    <row r="476">
      <c r="A476" s="237"/>
      <c r="B476" s="237"/>
      <c r="C476" s="237"/>
      <c r="D476" s="237"/>
      <c r="E476" s="237"/>
      <c r="F476" s="237"/>
      <c r="G476" s="237"/>
      <c r="H476" s="237"/>
      <c r="I476" s="237"/>
      <c r="J476" s="212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  <c r="AA476" s="237"/>
      <c r="AB476" s="237"/>
      <c r="AC476" s="237"/>
    </row>
    <row r="477">
      <c r="A477" s="237"/>
      <c r="B477" s="237"/>
      <c r="C477" s="237"/>
      <c r="D477" s="237"/>
      <c r="E477" s="237"/>
      <c r="F477" s="237"/>
      <c r="G477" s="237"/>
      <c r="H477" s="237"/>
      <c r="I477" s="237"/>
      <c r="J477" s="212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  <c r="AA477" s="237"/>
      <c r="AB477" s="237"/>
      <c r="AC477" s="237"/>
    </row>
    <row r="478">
      <c r="A478" s="237"/>
      <c r="B478" s="237"/>
      <c r="C478" s="237"/>
      <c r="D478" s="237"/>
      <c r="E478" s="237"/>
      <c r="F478" s="237"/>
      <c r="G478" s="237"/>
      <c r="H478" s="237"/>
      <c r="I478" s="237"/>
      <c r="J478" s="212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  <c r="AA478" s="237"/>
      <c r="AB478" s="237"/>
      <c r="AC478" s="237"/>
    </row>
    <row r="479">
      <c r="A479" s="237"/>
      <c r="B479" s="237"/>
      <c r="C479" s="237"/>
      <c r="D479" s="237"/>
      <c r="E479" s="237"/>
      <c r="F479" s="237"/>
      <c r="G479" s="237"/>
      <c r="H479" s="237"/>
      <c r="I479" s="237"/>
      <c r="J479" s="212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  <c r="AA479" s="237"/>
      <c r="AB479" s="237"/>
      <c r="AC479" s="237"/>
    </row>
    <row r="480">
      <c r="A480" s="237"/>
      <c r="B480" s="237"/>
      <c r="C480" s="237"/>
      <c r="D480" s="237"/>
      <c r="E480" s="237"/>
      <c r="F480" s="237"/>
      <c r="G480" s="237"/>
      <c r="H480" s="237"/>
      <c r="I480" s="237"/>
      <c r="J480" s="212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  <c r="AA480" s="237"/>
      <c r="AB480" s="237"/>
      <c r="AC480" s="237"/>
    </row>
    <row r="481">
      <c r="A481" s="237"/>
      <c r="B481" s="237"/>
      <c r="C481" s="237"/>
      <c r="D481" s="237"/>
      <c r="E481" s="237"/>
      <c r="F481" s="237"/>
      <c r="G481" s="237"/>
      <c r="H481" s="237"/>
      <c r="I481" s="237"/>
      <c r="J481" s="212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  <c r="AA481" s="237"/>
      <c r="AB481" s="237"/>
      <c r="AC481" s="237"/>
    </row>
    <row r="482">
      <c r="A482" s="237"/>
      <c r="B482" s="237"/>
      <c r="C482" s="237"/>
      <c r="D482" s="237"/>
      <c r="E482" s="237"/>
      <c r="F482" s="237"/>
      <c r="G482" s="237"/>
      <c r="H482" s="237"/>
      <c r="I482" s="237"/>
      <c r="J482" s="212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  <c r="AA482" s="237"/>
      <c r="AB482" s="237"/>
      <c r="AC482" s="237"/>
    </row>
    <row r="483">
      <c r="A483" s="237"/>
      <c r="B483" s="237"/>
      <c r="C483" s="237"/>
      <c r="D483" s="237"/>
      <c r="E483" s="237"/>
      <c r="F483" s="237"/>
      <c r="G483" s="237"/>
      <c r="H483" s="237"/>
      <c r="I483" s="237"/>
      <c r="J483" s="212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  <c r="AA483" s="237"/>
      <c r="AB483" s="237"/>
      <c r="AC483" s="237"/>
    </row>
    <row r="484">
      <c r="A484" s="237"/>
      <c r="B484" s="237"/>
      <c r="C484" s="237"/>
      <c r="D484" s="237"/>
      <c r="E484" s="237"/>
      <c r="F484" s="237"/>
      <c r="G484" s="237"/>
      <c r="H484" s="237"/>
      <c r="I484" s="237"/>
      <c r="J484" s="212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  <c r="AA484" s="237"/>
      <c r="AB484" s="237"/>
      <c r="AC484" s="237"/>
    </row>
    <row r="485">
      <c r="A485" s="237"/>
      <c r="B485" s="237"/>
      <c r="C485" s="237"/>
      <c r="D485" s="237"/>
      <c r="E485" s="237"/>
      <c r="F485" s="237"/>
      <c r="G485" s="237"/>
      <c r="H485" s="237"/>
      <c r="I485" s="237"/>
      <c r="J485" s="212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  <c r="AA485" s="237"/>
      <c r="AB485" s="237"/>
      <c r="AC485" s="237"/>
    </row>
    <row r="486">
      <c r="A486" s="237"/>
      <c r="B486" s="237"/>
      <c r="C486" s="237"/>
      <c r="D486" s="237"/>
      <c r="E486" s="237"/>
      <c r="F486" s="237"/>
      <c r="G486" s="237"/>
      <c r="H486" s="237"/>
      <c r="I486" s="237"/>
      <c r="J486" s="212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  <c r="AA486" s="237"/>
      <c r="AB486" s="237"/>
      <c r="AC486" s="237"/>
    </row>
    <row r="487">
      <c r="A487" s="237"/>
      <c r="B487" s="237"/>
      <c r="C487" s="237"/>
      <c r="D487" s="237"/>
      <c r="E487" s="237"/>
      <c r="F487" s="237"/>
      <c r="G487" s="237"/>
      <c r="H487" s="237"/>
      <c r="I487" s="237"/>
      <c r="J487" s="212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  <c r="AA487" s="237"/>
      <c r="AB487" s="237"/>
      <c r="AC487" s="237"/>
    </row>
    <row r="488">
      <c r="A488" s="237"/>
      <c r="B488" s="237"/>
      <c r="C488" s="237"/>
      <c r="D488" s="237"/>
      <c r="E488" s="237"/>
      <c r="F488" s="237"/>
      <c r="G488" s="237"/>
      <c r="H488" s="237"/>
      <c r="I488" s="237"/>
      <c r="J488" s="212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  <c r="AA488" s="237"/>
      <c r="AB488" s="237"/>
      <c r="AC488" s="237"/>
    </row>
    <row r="489">
      <c r="A489" s="237"/>
      <c r="B489" s="237"/>
      <c r="C489" s="237"/>
      <c r="D489" s="237"/>
      <c r="E489" s="237"/>
      <c r="F489" s="237"/>
      <c r="G489" s="237"/>
      <c r="H489" s="237"/>
      <c r="I489" s="237"/>
      <c r="J489" s="212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  <c r="AA489" s="237"/>
      <c r="AB489" s="237"/>
      <c r="AC489" s="237"/>
    </row>
    <row r="490">
      <c r="A490" s="237"/>
      <c r="B490" s="237"/>
      <c r="C490" s="237"/>
      <c r="D490" s="237"/>
      <c r="E490" s="237"/>
      <c r="F490" s="237"/>
      <c r="G490" s="237"/>
      <c r="H490" s="237"/>
      <c r="I490" s="237"/>
      <c r="J490" s="212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  <c r="AA490" s="237"/>
      <c r="AB490" s="237"/>
      <c r="AC490" s="237"/>
    </row>
    <row r="491">
      <c r="A491" s="237"/>
      <c r="B491" s="237"/>
      <c r="C491" s="237"/>
      <c r="D491" s="237"/>
      <c r="E491" s="237"/>
      <c r="F491" s="237"/>
      <c r="G491" s="237"/>
      <c r="H491" s="237"/>
      <c r="I491" s="237"/>
      <c r="J491" s="212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  <c r="AA491" s="237"/>
      <c r="AB491" s="237"/>
      <c r="AC491" s="237"/>
    </row>
    <row r="492">
      <c r="A492" s="237"/>
      <c r="B492" s="237"/>
      <c r="C492" s="237"/>
      <c r="D492" s="237"/>
      <c r="E492" s="237"/>
      <c r="F492" s="237"/>
      <c r="G492" s="237"/>
      <c r="H492" s="237"/>
      <c r="I492" s="237"/>
      <c r="J492" s="212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  <c r="AA492" s="237"/>
      <c r="AB492" s="237"/>
      <c r="AC492" s="237"/>
    </row>
    <row r="493">
      <c r="A493" s="237"/>
      <c r="B493" s="237"/>
      <c r="C493" s="237"/>
      <c r="D493" s="237"/>
      <c r="E493" s="237"/>
      <c r="F493" s="237"/>
      <c r="G493" s="237"/>
      <c r="H493" s="237"/>
      <c r="I493" s="237"/>
      <c r="J493" s="212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  <c r="AA493" s="237"/>
      <c r="AB493" s="237"/>
      <c r="AC493" s="237"/>
    </row>
    <row r="494">
      <c r="A494" s="237"/>
      <c r="B494" s="237"/>
      <c r="C494" s="237"/>
      <c r="D494" s="237"/>
      <c r="E494" s="237"/>
      <c r="F494" s="237"/>
      <c r="G494" s="237"/>
      <c r="H494" s="237"/>
      <c r="I494" s="237"/>
      <c r="J494" s="212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  <c r="AA494" s="237"/>
      <c r="AB494" s="237"/>
      <c r="AC494" s="237"/>
    </row>
    <row r="495">
      <c r="A495" s="237"/>
      <c r="B495" s="237"/>
      <c r="C495" s="237"/>
      <c r="D495" s="237"/>
      <c r="E495" s="237"/>
      <c r="F495" s="237"/>
      <c r="G495" s="237"/>
      <c r="H495" s="237"/>
      <c r="I495" s="237"/>
      <c r="J495" s="212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  <c r="AA495" s="237"/>
      <c r="AB495" s="237"/>
      <c r="AC495" s="237"/>
    </row>
    <row r="496">
      <c r="A496" s="237"/>
      <c r="B496" s="237"/>
      <c r="C496" s="237"/>
      <c r="D496" s="237"/>
      <c r="E496" s="237"/>
      <c r="F496" s="237"/>
      <c r="G496" s="237"/>
      <c r="H496" s="237"/>
      <c r="I496" s="237"/>
      <c r="J496" s="212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  <c r="AA496" s="237"/>
      <c r="AB496" s="237"/>
      <c r="AC496" s="237"/>
    </row>
    <row r="497">
      <c r="A497" s="237"/>
      <c r="B497" s="237"/>
      <c r="C497" s="237"/>
      <c r="D497" s="237"/>
      <c r="E497" s="237"/>
      <c r="F497" s="237"/>
      <c r="G497" s="237"/>
      <c r="H497" s="237"/>
      <c r="I497" s="237"/>
      <c r="J497" s="212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  <c r="AA497" s="237"/>
      <c r="AB497" s="237"/>
      <c r="AC497" s="237"/>
    </row>
    <row r="498">
      <c r="A498" s="237"/>
      <c r="B498" s="237"/>
      <c r="C498" s="237"/>
      <c r="D498" s="237"/>
      <c r="E498" s="237"/>
      <c r="F498" s="237"/>
      <c r="G498" s="237"/>
      <c r="H498" s="237"/>
      <c r="I498" s="237"/>
      <c r="J498" s="212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  <c r="AA498" s="237"/>
      <c r="AB498" s="237"/>
      <c r="AC498" s="237"/>
    </row>
    <row r="499">
      <c r="A499" s="237"/>
      <c r="B499" s="237"/>
      <c r="C499" s="237"/>
      <c r="D499" s="237"/>
      <c r="E499" s="237"/>
      <c r="F499" s="237"/>
      <c r="G499" s="237"/>
      <c r="H499" s="237"/>
      <c r="I499" s="237"/>
      <c r="J499" s="212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  <c r="AA499" s="237"/>
      <c r="AB499" s="237"/>
      <c r="AC499" s="237"/>
    </row>
    <row r="500">
      <c r="A500" s="237"/>
      <c r="B500" s="237"/>
      <c r="C500" s="237"/>
      <c r="D500" s="237"/>
      <c r="E500" s="237"/>
      <c r="F500" s="237"/>
      <c r="G500" s="237"/>
      <c r="H500" s="237"/>
      <c r="I500" s="237"/>
      <c r="J500" s="212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  <c r="AA500" s="237"/>
      <c r="AB500" s="237"/>
      <c r="AC500" s="237"/>
    </row>
    <row r="501">
      <c r="A501" s="237"/>
      <c r="B501" s="237"/>
      <c r="C501" s="237"/>
      <c r="D501" s="237"/>
      <c r="E501" s="237"/>
      <c r="F501" s="237"/>
      <c r="G501" s="237"/>
      <c r="H501" s="237"/>
      <c r="I501" s="237"/>
      <c r="J501" s="212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  <c r="AA501" s="237"/>
      <c r="AB501" s="237"/>
      <c r="AC501" s="237"/>
    </row>
    <row r="502">
      <c r="A502" s="237"/>
      <c r="B502" s="237"/>
      <c r="C502" s="237"/>
      <c r="D502" s="237"/>
      <c r="E502" s="237"/>
      <c r="F502" s="237"/>
      <c r="G502" s="237"/>
      <c r="H502" s="237"/>
      <c r="I502" s="237"/>
      <c r="J502" s="212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  <c r="AA502" s="237"/>
      <c r="AB502" s="237"/>
      <c r="AC502" s="237"/>
    </row>
    <row r="503">
      <c r="A503" s="237"/>
      <c r="B503" s="237"/>
      <c r="C503" s="237"/>
      <c r="D503" s="237"/>
      <c r="E503" s="237"/>
      <c r="F503" s="237"/>
      <c r="G503" s="237"/>
      <c r="H503" s="237"/>
      <c r="I503" s="237"/>
      <c r="J503" s="212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  <c r="AA503" s="237"/>
      <c r="AB503" s="237"/>
      <c r="AC503" s="237"/>
    </row>
    <row r="504">
      <c r="A504" s="237"/>
      <c r="B504" s="237"/>
      <c r="C504" s="237"/>
      <c r="D504" s="237"/>
      <c r="E504" s="237"/>
      <c r="F504" s="237"/>
      <c r="G504" s="237"/>
      <c r="H504" s="237"/>
      <c r="I504" s="237"/>
      <c r="J504" s="212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  <c r="AA504" s="237"/>
      <c r="AB504" s="237"/>
      <c r="AC504" s="237"/>
    </row>
    <row r="505">
      <c r="A505" s="237"/>
      <c r="B505" s="237"/>
      <c r="C505" s="237"/>
      <c r="D505" s="237"/>
      <c r="E505" s="237"/>
      <c r="F505" s="237"/>
      <c r="G505" s="237"/>
      <c r="H505" s="237"/>
      <c r="I505" s="237"/>
      <c r="J505" s="212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  <c r="AA505" s="237"/>
      <c r="AB505" s="237"/>
      <c r="AC505" s="237"/>
    </row>
    <row r="506">
      <c r="A506" s="237"/>
      <c r="B506" s="237"/>
      <c r="C506" s="237"/>
      <c r="D506" s="237"/>
      <c r="E506" s="237"/>
      <c r="F506" s="237"/>
      <c r="G506" s="237"/>
      <c r="H506" s="237"/>
      <c r="I506" s="237"/>
      <c r="J506" s="212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  <c r="AA506" s="237"/>
      <c r="AB506" s="237"/>
      <c r="AC506" s="237"/>
    </row>
    <row r="507">
      <c r="A507" s="237"/>
      <c r="B507" s="237"/>
      <c r="C507" s="237"/>
      <c r="D507" s="237"/>
      <c r="E507" s="237"/>
      <c r="F507" s="237"/>
      <c r="G507" s="237"/>
      <c r="H507" s="237"/>
      <c r="I507" s="237"/>
      <c r="J507" s="212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  <c r="AA507" s="237"/>
      <c r="AB507" s="237"/>
      <c r="AC507" s="237"/>
    </row>
    <row r="508">
      <c r="A508" s="237"/>
      <c r="B508" s="237"/>
      <c r="C508" s="237"/>
      <c r="D508" s="237"/>
      <c r="E508" s="237"/>
      <c r="F508" s="237"/>
      <c r="G508" s="237"/>
      <c r="H508" s="237"/>
      <c r="I508" s="237"/>
      <c r="J508" s="212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  <c r="AA508" s="237"/>
      <c r="AB508" s="237"/>
      <c r="AC508" s="237"/>
    </row>
    <row r="509">
      <c r="A509" s="237"/>
      <c r="B509" s="237"/>
      <c r="C509" s="237"/>
      <c r="D509" s="237"/>
      <c r="E509" s="237"/>
      <c r="F509" s="237"/>
      <c r="G509" s="237"/>
      <c r="H509" s="237"/>
      <c r="I509" s="237"/>
      <c r="J509" s="212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  <c r="AA509" s="237"/>
      <c r="AB509" s="237"/>
      <c r="AC509" s="237"/>
    </row>
    <row r="510">
      <c r="A510" s="237"/>
      <c r="B510" s="237"/>
      <c r="C510" s="237"/>
      <c r="D510" s="237"/>
      <c r="E510" s="237"/>
      <c r="F510" s="237"/>
      <c r="G510" s="237"/>
      <c r="H510" s="237"/>
      <c r="I510" s="237"/>
      <c r="J510" s="212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  <c r="AA510" s="237"/>
      <c r="AB510" s="237"/>
      <c r="AC510" s="237"/>
    </row>
    <row r="511">
      <c r="A511" s="237"/>
      <c r="B511" s="237"/>
      <c r="C511" s="237"/>
      <c r="D511" s="237"/>
      <c r="E511" s="237"/>
      <c r="F511" s="237"/>
      <c r="G511" s="237"/>
      <c r="H511" s="237"/>
      <c r="I511" s="237"/>
      <c r="J511" s="212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  <c r="AA511" s="237"/>
      <c r="AB511" s="237"/>
      <c r="AC511" s="237"/>
    </row>
    <row r="512">
      <c r="A512" s="237"/>
      <c r="B512" s="237"/>
      <c r="C512" s="237"/>
      <c r="D512" s="237"/>
      <c r="E512" s="237"/>
      <c r="F512" s="237"/>
      <c r="G512" s="237"/>
      <c r="H512" s="237"/>
      <c r="I512" s="237"/>
      <c r="J512" s="212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  <c r="AA512" s="237"/>
      <c r="AB512" s="237"/>
      <c r="AC512" s="237"/>
    </row>
    <row r="513">
      <c r="A513" s="237"/>
      <c r="B513" s="237"/>
      <c r="C513" s="237"/>
      <c r="D513" s="237"/>
      <c r="E513" s="237"/>
      <c r="F513" s="237"/>
      <c r="G513" s="237"/>
      <c r="H513" s="237"/>
      <c r="I513" s="237"/>
      <c r="J513" s="212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  <c r="AA513" s="237"/>
      <c r="AB513" s="237"/>
      <c r="AC513" s="237"/>
    </row>
    <row r="514">
      <c r="A514" s="237"/>
      <c r="B514" s="237"/>
      <c r="C514" s="237"/>
      <c r="D514" s="237"/>
      <c r="E514" s="237"/>
      <c r="F514" s="237"/>
      <c r="G514" s="237"/>
      <c r="H514" s="237"/>
      <c r="I514" s="237"/>
      <c r="J514" s="212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  <c r="AA514" s="237"/>
      <c r="AB514" s="237"/>
      <c r="AC514" s="237"/>
    </row>
    <row r="515">
      <c r="A515" s="237"/>
      <c r="B515" s="237"/>
      <c r="C515" s="237"/>
      <c r="D515" s="237"/>
      <c r="E515" s="237"/>
      <c r="F515" s="237"/>
      <c r="G515" s="237"/>
      <c r="H515" s="237"/>
      <c r="I515" s="237"/>
      <c r="J515" s="212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  <c r="AA515" s="237"/>
      <c r="AB515" s="237"/>
      <c r="AC515" s="237"/>
    </row>
    <row r="516">
      <c r="A516" s="237"/>
      <c r="B516" s="237"/>
      <c r="C516" s="237"/>
      <c r="D516" s="237"/>
      <c r="E516" s="237"/>
      <c r="F516" s="237"/>
      <c r="G516" s="237"/>
      <c r="H516" s="237"/>
      <c r="I516" s="237"/>
      <c r="J516" s="212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  <c r="AA516" s="237"/>
      <c r="AB516" s="237"/>
      <c r="AC516" s="237"/>
    </row>
    <row r="517">
      <c r="A517" s="237"/>
      <c r="B517" s="237"/>
      <c r="C517" s="237"/>
      <c r="D517" s="237"/>
      <c r="E517" s="237"/>
      <c r="F517" s="237"/>
      <c r="G517" s="237"/>
      <c r="H517" s="237"/>
      <c r="I517" s="237"/>
      <c r="J517" s="212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  <c r="AA517" s="237"/>
      <c r="AB517" s="237"/>
      <c r="AC517" s="237"/>
    </row>
    <row r="518">
      <c r="A518" s="237"/>
      <c r="B518" s="237"/>
      <c r="C518" s="237"/>
      <c r="D518" s="237"/>
      <c r="E518" s="237"/>
      <c r="F518" s="237"/>
      <c r="G518" s="237"/>
      <c r="H518" s="237"/>
      <c r="I518" s="237"/>
      <c r="J518" s="212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  <c r="AA518" s="237"/>
      <c r="AB518" s="237"/>
      <c r="AC518" s="237"/>
    </row>
    <row r="519">
      <c r="A519" s="237"/>
      <c r="B519" s="237"/>
      <c r="C519" s="237"/>
      <c r="D519" s="237"/>
      <c r="E519" s="237"/>
      <c r="F519" s="237"/>
      <c r="G519" s="237"/>
      <c r="H519" s="237"/>
      <c r="I519" s="237"/>
      <c r="J519" s="212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  <c r="AA519" s="237"/>
      <c r="AB519" s="237"/>
      <c r="AC519" s="237"/>
    </row>
    <row r="520">
      <c r="A520" s="237"/>
      <c r="B520" s="237"/>
      <c r="C520" s="237"/>
      <c r="D520" s="237"/>
      <c r="E520" s="237"/>
      <c r="F520" s="237"/>
      <c r="G520" s="237"/>
      <c r="H520" s="237"/>
      <c r="I520" s="237"/>
      <c r="J520" s="212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  <c r="AA520" s="237"/>
      <c r="AB520" s="237"/>
      <c r="AC520" s="237"/>
    </row>
    <row r="521">
      <c r="A521" s="237"/>
      <c r="B521" s="237"/>
      <c r="C521" s="237"/>
      <c r="D521" s="237"/>
      <c r="E521" s="237"/>
      <c r="F521" s="237"/>
      <c r="G521" s="237"/>
      <c r="H521" s="237"/>
      <c r="I521" s="237"/>
      <c r="J521" s="212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  <c r="AA521" s="237"/>
      <c r="AB521" s="237"/>
      <c r="AC521" s="237"/>
    </row>
    <row r="522">
      <c r="A522" s="237"/>
      <c r="B522" s="237"/>
      <c r="C522" s="237"/>
      <c r="D522" s="237"/>
      <c r="E522" s="237"/>
      <c r="F522" s="237"/>
      <c r="G522" s="237"/>
      <c r="H522" s="237"/>
      <c r="I522" s="237"/>
      <c r="J522" s="212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  <c r="AA522" s="237"/>
      <c r="AB522" s="237"/>
      <c r="AC522" s="237"/>
    </row>
    <row r="523">
      <c r="A523" s="237"/>
      <c r="B523" s="237"/>
      <c r="C523" s="237"/>
      <c r="D523" s="237"/>
      <c r="E523" s="237"/>
      <c r="F523" s="237"/>
      <c r="G523" s="237"/>
      <c r="H523" s="237"/>
      <c r="I523" s="237"/>
      <c r="J523" s="212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  <c r="AA523" s="237"/>
      <c r="AB523" s="237"/>
      <c r="AC523" s="237"/>
    </row>
    <row r="524">
      <c r="A524" s="237"/>
      <c r="B524" s="237"/>
      <c r="C524" s="237"/>
      <c r="D524" s="237"/>
      <c r="E524" s="237"/>
      <c r="F524" s="237"/>
      <c r="G524" s="237"/>
      <c r="H524" s="237"/>
      <c r="I524" s="237"/>
      <c r="J524" s="212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  <c r="AA524" s="237"/>
      <c r="AB524" s="237"/>
      <c r="AC524" s="237"/>
    </row>
    <row r="525">
      <c r="A525" s="237"/>
      <c r="B525" s="237"/>
      <c r="C525" s="237"/>
      <c r="D525" s="237"/>
      <c r="E525" s="237"/>
      <c r="F525" s="237"/>
      <c r="G525" s="237"/>
      <c r="H525" s="237"/>
      <c r="I525" s="237"/>
      <c r="J525" s="212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  <c r="AA525" s="237"/>
      <c r="AB525" s="237"/>
      <c r="AC525" s="237"/>
    </row>
    <row r="526">
      <c r="A526" s="237"/>
      <c r="B526" s="237"/>
      <c r="C526" s="237"/>
      <c r="D526" s="237"/>
      <c r="E526" s="237"/>
      <c r="F526" s="237"/>
      <c r="G526" s="237"/>
      <c r="H526" s="237"/>
      <c r="I526" s="237"/>
      <c r="J526" s="212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  <c r="AA526" s="237"/>
      <c r="AB526" s="237"/>
      <c r="AC526" s="237"/>
    </row>
    <row r="527">
      <c r="A527" s="237"/>
      <c r="B527" s="237"/>
      <c r="C527" s="237"/>
      <c r="D527" s="237"/>
      <c r="E527" s="237"/>
      <c r="F527" s="237"/>
      <c r="G527" s="237"/>
      <c r="H527" s="237"/>
      <c r="I527" s="237"/>
      <c r="J527" s="212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  <c r="AA527" s="237"/>
      <c r="AB527" s="237"/>
      <c r="AC527" s="237"/>
    </row>
    <row r="528">
      <c r="A528" s="237"/>
      <c r="B528" s="237"/>
      <c r="C528" s="237"/>
      <c r="D528" s="237"/>
      <c r="E528" s="237"/>
      <c r="F528" s="237"/>
      <c r="G528" s="237"/>
      <c r="H528" s="237"/>
      <c r="I528" s="237"/>
      <c r="J528" s="212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  <c r="AA528" s="237"/>
      <c r="AB528" s="237"/>
      <c r="AC528" s="237"/>
    </row>
    <row r="529">
      <c r="A529" s="237"/>
      <c r="B529" s="237"/>
      <c r="C529" s="237"/>
      <c r="D529" s="237"/>
      <c r="E529" s="237"/>
      <c r="F529" s="237"/>
      <c r="G529" s="237"/>
      <c r="H529" s="237"/>
      <c r="I529" s="237"/>
      <c r="J529" s="212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  <c r="AA529" s="237"/>
      <c r="AB529" s="237"/>
      <c r="AC529" s="237"/>
    </row>
    <row r="530">
      <c r="A530" s="237"/>
      <c r="B530" s="237"/>
      <c r="C530" s="237"/>
      <c r="D530" s="237"/>
      <c r="E530" s="237"/>
      <c r="F530" s="237"/>
      <c r="G530" s="237"/>
      <c r="H530" s="237"/>
      <c r="I530" s="237"/>
      <c r="J530" s="212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  <c r="AA530" s="237"/>
      <c r="AB530" s="237"/>
      <c r="AC530" s="237"/>
    </row>
    <row r="531">
      <c r="A531" s="237"/>
      <c r="B531" s="237"/>
      <c r="C531" s="237"/>
      <c r="D531" s="237"/>
      <c r="E531" s="237"/>
      <c r="F531" s="237"/>
      <c r="G531" s="237"/>
      <c r="H531" s="237"/>
      <c r="I531" s="237"/>
      <c r="J531" s="212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  <c r="AA531" s="237"/>
      <c r="AB531" s="237"/>
      <c r="AC531" s="237"/>
    </row>
    <row r="532">
      <c r="A532" s="237"/>
      <c r="B532" s="237"/>
      <c r="C532" s="237"/>
      <c r="D532" s="237"/>
      <c r="E532" s="237"/>
      <c r="F532" s="237"/>
      <c r="G532" s="237"/>
      <c r="H532" s="237"/>
      <c r="I532" s="237"/>
      <c r="J532" s="212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  <c r="AA532" s="237"/>
      <c r="AB532" s="237"/>
      <c r="AC532" s="237"/>
    </row>
    <row r="533">
      <c r="A533" s="237"/>
      <c r="B533" s="237"/>
      <c r="C533" s="237"/>
      <c r="D533" s="237"/>
      <c r="E533" s="237"/>
      <c r="F533" s="237"/>
      <c r="G533" s="237"/>
      <c r="H533" s="237"/>
      <c r="I533" s="237"/>
      <c r="J533" s="212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  <c r="AA533" s="237"/>
      <c r="AB533" s="237"/>
      <c r="AC533" s="237"/>
    </row>
    <row r="534">
      <c r="A534" s="237"/>
      <c r="B534" s="237"/>
      <c r="C534" s="237"/>
      <c r="D534" s="237"/>
      <c r="E534" s="237"/>
      <c r="F534" s="237"/>
      <c r="G534" s="237"/>
      <c r="H534" s="237"/>
      <c r="I534" s="237"/>
      <c r="J534" s="212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  <c r="AA534" s="237"/>
      <c r="AB534" s="237"/>
      <c r="AC534" s="237"/>
    </row>
    <row r="535">
      <c r="A535" s="237"/>
      <c r="B535" s="237"/>
      <c r="C535" s="237"/>
      <c r="D535" s="237"/>
      <c r="E535" s="237"/>
      <c r="F535" s="237"/>
      <c r="G535" s="237"/>
      <c r="H535" s="237"/>
      <c r="I535" s="237"/>
      <c r="J535" s="212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  <c r="AA535" s="237"/>
      <c r="AB535" s="237"/>
      <c r="AC535" s="237"/>
    </row>
    <row r="536">
      <c r="A536" s="237"/>
      <c r="B536" s="237"/>
      <c r="C536" s="237"/>
      <c r="D536" s="237"/>
      <c r="E536" s="237"/>
      <c r="F536" s="237"/>
      <c r="G536" s="237"/>
      <c r="H536" s="237"/>
      <c r="I536" s="237"/>
      <c r="J536" s="212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  <c r="AA536" s="237"/>
      <c r="AB536" s="237"/>
      <c r="AC536" s="237"/>
    </row>
    <row r="537">
      <c r="A537" s="237"/>
      <c r="B537" s="237"/>
      <c r="C537" s="237"/>
      <c r="D537" s="237"/>
      <c r="E537" s="237"/>
      <c r="F537" s="237"/>
      <c r="G537" s="237"/>
      <c r="H537" s="237"/>
      <c r="I537" s="237"/>
      <c r="J537" s="212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  <c r="AA537" s="237"/>
      <c r="AB537" s="237"/>
      <c r="AC537" s="237"/>
    </row>
    <row r="538">
      <c r="A538" s="237"/>
      <c r="B538" s="237"/>
      <c r="C538" s="237"/>
      <c r="D538" s="237"/>
      <c r="E538" s="237"/>
      <c r="F538" s="237"/>
      <c r="G538" s="237"/>
      <c r="H538" s="237"/>
      <c r="I538" s="237"/>
      <c r="J538" s="212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  <c r="AA538" s="237"/>
      <c r="AB538" s="237"/>
      <c r="AC538" s="237"/>
    </row>
    <row r="539">
      <c r="A539" s="237"/>
      <c r="B539" s="237"/>
      <c r="C539" s="237"/>
      <c r="D539" s="237"/>
      <c r="E539" s="237"/>
      <c r="F539" s="237"/>
      <c r="G539" s="237"/>
      <c r="H539" s="237"/>
      <c r="I539" s="237"/>
      <c r="J539" s="212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  <c r="AA539" s="237"/>
      <c r="AB539" s="237"/>
      <c r="AC539" s="237"/>
    </row>
    <row r="540">
      <c r="A540" s="237"/>
      <c r="B540" s="237"/>
      <c r="C540" s="237"/>
      <c r="D540" s="237"/>
      <c r="E540" s="237"/>
      <c r="F540" s="237"/>
      <c r="G540" s="237"/>
      <c r="H540" s="237"/>
      <c r="I540" s="237"/>
      <c r="J540" s="212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  <c r="AA540" s="237"/>
      <c r="AB540" s="237"/>
      <c r="AC540" s="237"/>
    </row>
    <row r="541">
      <c r="A541" s="237"/>
      <c r="B541" s="237"/>
      <c r="C541" s="237"/>
      <c r="D541" s="237"/>
      <c r="E541" s="237"/>
      <c r="F541" s="237"/>
      <c r="G541" s="237"/>
      <c r="H541" s="237"/>
      <c r="I541" s="237"/>
      <c r="J541" s="212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  <c r="AA541" s="237"/>
      <c r="AB541" s="237"/>
      <c r="AC541" s="237"/>
    </row>
    <row r="542">
      <c r="A542" s="237"/>
      <c r="B542" s="237"/>
      <c r="C542" s="237"/>
      <c r="D542" s="237"/>
      <c r="E542" s="237"/>
      <c r="F542" s="237"/>
      <c r="G542" s="237"/>
      <c r="H542" s="237"/>
      <c r="I542" s="237"/>
      <c r="J542" s="212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  <c r="AA542" s="237"/>
      <c r="AB542" s="237"/>
      <c r="AC542" s="237"/>
    </row>
    <row r="543">
      <c r="A543" s="237"/>
      <c r="B543" s="237"/>
      <c r="C543" s="237"/>
      <c r="D543" s="237"/>
      <c r="E543" s="237"/>
      <c r="F543" s="237"/>
      <c r="G543" s="237"/>
      <c r="H543" s="237"/>
      <c r="I543" s="237"/>
      <c r="J543" s="212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  <c r="AA543" s="237"/>
      <c r="AB543" s="237"/>
      <c r="AC543" s="237"/>
    </row>
    <row r="544">
      <c r="A544" s="237"/>
      <c r="B544" s="237"/>
      <c r="C544" s="237"/>
      <c r="D544" s="237"/>
      <c r="E544" s="237"/>
      <c r="F544" s="237"/>
      <c r="G544" s="237"/>
      <c r="H544" s="237"/>
      <c r="I544" s="237"/>
      <c r="J544" s="212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  <c r="AA544" s="237"/>
      <c r="AB544" s="237"/>
      <c r="AC544" s="237"/>
    </row>
    <row r="545">
      <c r="A545" s="237"/>
      <c r="B545" s="237"/>
      <c r="C545" s="237"/>
      <c r="D545" s="237"/>
      <c r="E545" s="237"/>
      <c r="F545" s="237"/>
      <c r="G545" s="237"/>
      <c r="H545" s="237"/>
      <c r="I545" s="237"/>
      <c r="J545" s="212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  <c r="AA545" s="237"/>
      <c r="AB545" s="237"/>
      <c r="AC545" s="237"/>
    </row>
    <row r="546">
      <c r="A546" s="237"/>
      <c r="B546" s="237"/>
      <c r="C546" s="237"/>
      <c r="D546" s="237"/>
      <c r="E546" s="237"/>
      <c r="F546" s="237"/>
      <c r="G546" s="237"/>
      <c r="H546" s="237"/>
      <c r="I546" s="237"/>
      <c r="J546" s="212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  <c r="AA546" s="237"/>
      <c r="AB546" s="237"/>
      <c r="AC546" s="237"/>
    </row>
    <row r="547">
      <c r="A547" s="237"/>
      <c r="B547" s="237"/>
      <c r="C547" s="237"/>
      <c r="D547" s="237"/>
      <c r="E547" s="237"/>
      <c r="F547" s="237"/>
      <c r="G547" s="237"/>
      <c r="H547" s="237"/>
      <c r="I547" s="237"/>
      <c r="J547" s="212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  <c r="AA547" s="237"/>
      <c r="AB547" s="237"/>
      <c r="AC547" s="237"/>
    </row>
    <row r="548">
      <c r="A548" s="237"/>
      <c r="B548" s="237"/>
      <c r="C548" s="237"/>
      <c r="D548" s="237"/>
      <c r="E548" s="237"/>
      <c r="F548" s="237"/>
      <c r="G548" s="237"/>
      <c r="H548" s="237"/>
      <c r="I548" s="237"/>
      <c r="J548" s="212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  <c r="AA548" s="237"/>
      <c r="AB548" s="237"/>
      <c r="AC548" s="237"/>
    </row>
    <row r="549">
      <c r="A549" s="237"/>
      <c r="B549" s="237"/>
      <c r="C549" s="237"/>
      <c r="D549" s="237"/>
      <c r="E549" s="237"/>
      <c r="F549" s="237"/>
      <c r="G549" s="237"/>
      <c r="H549" s="237"/>
      <c r="I549" s="237"/>
      <c r="J549" s="212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  <c r="AA549" s="237"/>
      <c r="AB549" s="237"/>
      <c r="AC549" s="237"/>
    </row>
    <row r="550">
      <c r="A550" s="237"/>
      <c r="B550" s="237"/>
      <c r="C550" s="237"/>
      <c r="D550" s="237"/>
      <c r="E550" s="237"/>
      <c r="F550" s="237"/>
      <c r="G550" s="237"/>
      <c r="H550" s="237"/>
      <c r="I550" s="237"/>
      <c r="J550" s="212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  <c r="AA550" s="237"/>
      <c r="AB550" s="237"/>
      <c r="AC550" s="237"/>
    </row>
    <row r="551">
      <c r="A551" s="237"/>
      <c r="B551" s="237"/>
      <c r="C551" s="237"/>
      <c r="D551" s="237"/>
      <c r="E551" s="237"/>
      <c r="F551" s="237"/>
      <c r="G551" s="237"/>
      <c r="H551" s="237"/>
      <c r="I551" s="237"/>
      <c r="J551" s="212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  <c r="AA551" s="237"/>
      <c r="AB551" s="237"/>
      <c r="AC551" s="237"/>
    </row>
    <row r="552">
      <c r="A552" s="237"/>
      <c r="B552" s="237"/>
      <c r="C552" s="237"/>
      <c r="D552" s="237"/>
      <c r="E552" s="237"/>
      <c r="F552" s="237"/>
      <c r="G552" s="237"/>
      <c r="H552" s="237"/>
      <c r="I552" s="237"/>
      <c r="J552" s="212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  <c r="AA552" s="237"/>
      <c r="AB552" s="237"/>
      <c r="AC552" s="237"/>
    </row>
    <row r="553">
      <c r="A553" s="237"/>
      <c r="B553" s="237"/>
      <c r="C553" s="237"/>
      <c r="D553" s="237"/>
      <c r="E553" s="237"/>
      <c r="F553" s="237"/>
      <c r="G553" s="237"/>
      <c r="H553" s="237"/>
      <c r="I553" s="237"/>
      <c r="J553" s="212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  <c r="AA553" s="237"/>
      <c r="AB553" s="237"/>
      <c r="AC553" s="237"/>
    </row>
    <row r="554">
      <c r="A554" s="237"/>
      <c r="B554" s="237"/>
      <c r="C554" s="237"/>
      <c r="D554" s="237"/>
      <c r="E554" s="237"/>
      <c r="F554" s="237"/>
      <c r="G554" s="237"/>
      <c r="H554" s="237"/>
      <c r="I554" s="237"/>
      <c r="J554" s="212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  <c r="AA554" s="237"/>
      <c r="AB554" s="237"/>
      <c r="AC554" s="237"/>
    </row>
    <row r="555">
      <c r="A555" s="237"/>
      <c r="B555" s="237"/>
      <c r="C555" s="237"/>
      <c r="D555" s="237"/>
      <c r="E555" s="237"/>
      <c r="F555" s="237"/>
      <c r="G555" s="237"/>
      <c r="H555" s="237"/>
      <c r="I555" s="237"/>
      <c r="J555" s="212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  <c r="AA555" s="237"/>
      <c r="AB555" s="237"/>
      <c r="AC555" s="237"/>
    </row>
    <row r="556">
      <c r="A556" s="237"/>
      <c r="B556" s="237"/>
      <c r="C556" s="237"/>
      <c r="D556" s="237"/>
      <c r="E556" s="237"/>
      <c r="F556" s="237"/>
      <c r="G556" s="237"/>
      <c r="H556" s="237"/>
      <c r="I556" s="237"/>
      <c r="J556" s="212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  <c r="AA556" s="237"/>
      <c r="AB556" s="237"/>
      <c r="AC556" s="237"/>
    </row>
    <row r="557">
      <c r="A557" s="237"/>
      <c r="B557" s="237"/>
      <c r="C557" s="237"/>
      <c r="D557" s="237"/>
      <c r="E557" s="237"/>
      <c r="F557" s="237"/>
      <c r="G557" s="237"/>
      <c r="H557" s="237"/>
      <c r="I557" s="237"/>
      <c r="J557" s="212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  <c r="AA557" s="237"/>
      <c r="AB557" s="237"/>
      <c r="AC557" s="237"/>
    </row>
    <row r="558">
      <c r="A558" s="237"/>
      <c r="B558" s="237"/>
      <c r="C558" s="237"/>
      <c r="D558" s="237"/>
      <c r="E558" s="237"/>
      <c r="F558" s="237"/>
      <c r="G558" s="237"/>
      <c r="H558" s="237"/>
      <c r="I558" s="237"/>
      <c r="J558" s="212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  <c r="AA558" s="237"/>
      <c r="AB558" s="237"/>
      <c r="AC558" s="237"/>
    </row>
    <row r="559">
      <c r="A559" s="237"/>
      <c r="B559" s="237"/>
      <c r="C559" s="237"/>
      <c r="D559" s="237"/>
      <c r="E559" s="237"/>
      <c r="F559" s="237"/>
      <c r="G559" s="237"/>
      <c r="H559" s="237"/>
      <c r="I559" s="237"/>
      <c r="J559" s="212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  <c r="AA559" s="237"/>
      <c r="AB559" s="237"/>
      <c r="AC559" s="237"/>
    </row>
    <row r="560">
      <c r="A560" s="237"/>
      <c r="B560" s="237"/>
      <c r="C560" s="237"/>
      <c r="D560" s="237"/>
      <c r="E560" s="237"/>
      <c r="F560" s="237"/>
      <c r="G560" s="237"/>
      <c r="H560" s="237"/>
      <c r="I560" s="237"/>
      <c r="J560" s="212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  <c r="AA560" s="237"/>
      <c r="AB560" s="237"/>
      <c r="AC560" s="237"/>
    </row>
    <row r="561">
      <c r="A561" s="237"/>
      <c r="B561" s="237"/>
      <c r="C561" s="237"/>
      <c r="D561" s="237"/>
      <c r="E561" s="237"/>
      <c r="F561" s="237"/>
      <c r="G561" s="237"/>
      <c r="H561" s="237"/>
      <c r="I561" s="237"/>
      <c r="J561" s="212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  <c r="AA561" s="237"/>
      <c r="AB561" s="237"/>
      <c r="AC561" s="237"/>
    </row>
    <row r="562">
      <c r="A562" s="237"/>
      <c r="B562" s="237"/>
      <c r="C562" s="237"/>
      <c r="D562" s="237"/>
      <c r="E562" s="237"/>
      <c r="F562" s="237"/>
      <c r="G562" s="237"/>
      <c r="H562" s="237"/>
      <c r="I562" s="237"/>
      <c r="J562" s="212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  <c r="AA562" s="237"/>
      <c r="AB562" s="237"/>
      <c r="AC562" s="237"/>
    </row>
    <row r="563">
      <c r="A563" s="237"/>
      <c r="B563" s="237"/>
      <c r="C563" s="237"/>
      <c r="D563" s="237"/>
      <c r="E563" s="237"/>
      <c r="F563" s="237"/>
      <c r="G563" s="237"/>
      <c r="H563" s="237"/>
      <c r="I563" s="237"/>
      <c r="J563" s="212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  <c r="AA563" s="237"/>
      <c r="AB563" s="237"/>
      <c r="AC563" s="237"/>
    </row>
    <row r="564">
      <c r="A564" s="237"/>
      <c r="B564" s="237"/>
      <c r="C564" s="237"/>
      <c r="D564" s="237"/>
      <c r="E564" s="237"/>
      <c r="F564" s="237"/>
      <c r="G564" s="237"/>
      <c r="H564" s="237"/>
      <c r="I564" s="237"/>
      <c r="J564" s="212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  <c r="AA564" s="237"/>
      <c r="AB564" s="237"/>
      <c r="AC564" s="237"/>
    </row>
    <row r="565">
      <c r="A565" s="237"/>
      <c r="B565" s="237"/>
      <c r="C565" s="237"/>
      <c r="D565" s="237"/>
      <c r="E565" s="237"/>
      <c r="F565" s="237"/>
      <c r="G565" s="237"/>
      <c r="H565" s="237"/>
      <c r="I565" s="237"/>
      <c r="J565" s="212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  <c r="AA565" s="237"/>
      <c r="AB565" s="237"/>
      <c r="AC565" s="237"/>
    </row>
    <row r="566">
      <c r="A566" s="237"/>
      <c r="B566" s="237"/>
      <c r="C566" s="237"/>
      <c r="D566" s="237"/>
      <c r="E566" s="237"/>
      <c r="F566" s="237"/>
      <c r="G566" s="237"/>
      <c r="H566" s="237"/>
      <c r="I566" s="237"/>
      <c r="J566" s="212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  <c r="AA566" s="237"/>
      <c r="AB566" s="237"/>
      <c r="AC566" s="237"/>
    </row>
    <row r="567">
      <c r="A567" s="237"/>
      <c r="B567" s="237"/>
      <c r="C567" s="237"/>
      <c r="D567" s="237"/>
      <c r="E567" s="237"/>
      <c r="F567" s="237"/>
      <c r="G567" s="237"/>
      <c r="H567" s="237"/>
      <c r="I567" s="237"/>
      <c r="J567" s="212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  <c r="AA567" s="237"/>
      <c r="AB567" s="237"/>
      <c r="AC567" s="237"/>
    </row>
    <row r="568">
      <c r="A568" s="237"/>
      <c r="B568" s="237"/>
      <c r="C568" s="237"/>
      <c r="D568" s="237"/>
      <c r="E568" s="237"/>
      <c r="F568" s="237"/>
      <c r="G568" s="237"/>
      <c r="H568" s="237"/>
      <c r="I568" s="237"/>
      <c r="J568" s="212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  <c r="AA568" s="237"/>
      <c r="AB568" s="237"/>
      <c r="AC568" s="237"/>
    </row>
    <row r="569">
      <c r="A569" s="237"/>
      <c r="B569" s="237"/>
      <c r="C569" s="237"/>
      <c r="D569" s="237"/>
      <c r="E569" s="237"/>
      <c r="F569" s="237"/>
      <c r="G569" s="237"/>
      <c r="H569" s="237"/>
      <c r="I569" s="237"/>
      <c r="J569" s="212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  <c r="AA569" s="237"/>
      <c r="AB569" s="237"/>
      <c r="AC569" s="237"/>
    </row>
    <row r="570">
      <c r="A570" s="237"/>
      <c r="B570" s="237"/>
      <c r="C570" s="237"/>
      <c r="D570" s="237"/>
      <c r="E570" s="237"/>
      <c r="F570" s="237"/>
      <c r="G570" s="237"/>
      <c r="H570" s="237"/>
      <c r="I570" s="237"/>
      <c r="J570" s="212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  <c r="AA570" s="237"/>
      <c r="AB570" s="237"/>
      <c r="AC570" s="237"/>
    </row>
    <row r="571">
      <c r="A571" s="237"/>
      <c r="B571" s="237"/>
      <c r="C571" s="237"/>
      <c r="D571" s="237"/>
      <c r="E571" s="237"/>
      <c r="F571" s="237"/>
      <c r="G571" s="237"/>
      <c r="H571" s="237"/>
      <c r="I571" s="237"/>
      <c r="J571" s="212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  <c r="AA571" s="237"/>
      <c r="AB571" s="237"/>
      <c r="AC571" s="237"/>
    </row>
    <row r="572">
      <c r="A572" s="237"/>
      <c r="B572" s="237"/>
      <c r="C572" s="237"/>
      <c r="D572" s="237"/>
      <c r="E572" s="237"/>
      <c r="F572" s="237"/>
      <c r="G572" s="237"/>
      <c r="H572" s="237"/>
      <c r="I572" s="237"/>
      <c r="J572" s="212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  <c r="AA572" s="237"/>
      <c r="AB572" s="237"/>
      <c r="AC572" s="237"/>
    </row>
    <row r="573">
      <c r="A573" s="237"/>
      <c r="B573" s="237"/>
      <c r="C573" s="237"/>
      <c r="D573" s="237"/>
      <c r="E573" s="237"/>
      <c r="F573" s="237"/>
      <c r="G573" s="237"/>
      <c r="H573" s="237"/>
      <c r="I573" s="237"/>
      <c r="J573" s="212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  <c r="AA573" s="237"/>
      <c r="AB573" s="237"/>
      <c r="AC573" s="237"/>
    </row>
    <row r="574">
      <c r="A574" s="237"/>
      <c r="B574" s="237"/>
      <c r="C574" s="237"/>
      <c r="D574" s="237"/>
      <c r="E574" s="237"/>
      <c r="F574" s="237"/>
      <c r="G574" s="237"/>
      <c r="H574" s="237"/>
      <c r="I574" s="237"/>
      <c r="J574" s="212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  <c r="AA574" s="237"/>
      <c r="AB574" s="237"/>
      <c r="AC574" s="237"/>
    </row>
    <row r="575">
      <c r="A575" s="237"/>
      <c r="B575" s="237"/>
      <c r="C575" s="237"/>
      <c r="D575" s="237"/>
      <c r="E575" s="237"/>
      <c r="F575" s="237"/>
      <c r="G575" s="237"/>
      <c r="H575" s="237"/>
      <c r="I575" s="237"/>
      <c r="J575" s="212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  <c r="AA575" s="237"/>
      <c r="AB575" s="237"/>
      <c r="AC575" s="237"/>
    </row>
    <row r="576">
      <c r="A576" s="237"/>
      <c r="B576" s="237"/>
      <c r="C576" s="237"/>
      <c r="D576" s="237"/>
      <c r="E576" s="237"/>
      <c r="F576" s="237"/>
      <c r="G576" s="237"/>
      <c r="H576" s="237"/>
      <c r="I576" s="237"/>
      <c r="J576" s="212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  <c r="AA576" s="237"/>
      <c r="AB576" s="237"/>
      <c r="AC576" s="237"/>
    </row>
    <row r="577">
      <c r="A577" s="237"/>
      <c r="B577" s="237"/>
      <c r="C577" s="237"/>
      <c r="D577" s="237"/>
      <c r="E577" s="237"/>
      <c r="F577" s="237"/>
      <c r="G577" s="237"/>
      <c r="H577" s="237"/>
      <c r="I577" s="237"/>
      <c r="J577" s="212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  <c r="AA577" s="237"/>
      <c r="AB577" s="237"/>
      <c r="AC577" s="237"/>
    </row>
    <row r="578">
      <c r="A578" s="237"/>
      <c r="B578" s="237"/>
      <c r="C578" s="237"/>
      <c r="D578" s="237"/>
      <c r="E578" s="237"/>
      <c r="F578" s="237"/>
      <c r="G578" s="237"/>
      <c r="H578" s="237"/>
      <c r="I578" s="237"/>
      <c r="J578" s="212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  <c r="AA578" s="237"/>
      <c r="AB578" s="237"/>
      <c r="AC578" s="237"/>
    </row>
    <row r="579">
      <c r="A579" s="237"/>
      <c r="B579" s="237"/>
      <c r="C579" s="237"/>
      <c r="D579" s="237"/>
      <c r="E579" s="237"/>
      <c r="F579" s="237"/>
      <c r="G579" s="237"/>
      <c r="H579" s="237"/>
      <c r="I579" s="237"/>
      <c r="J579" s="212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  <c r="AA579" s="237"/>
      <c r="AB579" s="237"/>
      <c r="AC579" s="237"/>
    </row>
    <row r="580">
      <c r="A580" s="237"/>
      <c r="B580" s="237"/>
      <c r="C580" s="237"/>
      <c r="D580" s="237"/>
      <c r="E580" s="237"/>
      <c r="F580" s="237"/>
      <c r="G580" s="237"/>
      <c r="H580" s="237"/>
      <c r="I580" s="237"/>
      <c r="J580" s="212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  <c r="AA580" s="237"/>
      <c r="AB580" s="237"/>
      <c r="AC580" s="237"/>
    </row>
    <row r="581">
      <c r="A581" s="237"/>
      <c r="B581" s="237"/>
      <c r="C581" s="237"/>
      <c r="D581" s="237"/>
      <c r="E581" s="237"/>
      <c r="F581" s="237"/>
      <c r="G581" s="237"/>
      <c r="H581" s="237"/>
      <c r="I581" s="237"/>
      <c r="J581" s="212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  <c r="AA581" s="237"/>
      <c r="AB581" s="237"/>
      <c r="AC581" s="237"/>
    </row>
    <row r="582">
      <c r="A582" s="237"/>
      <c r="B582" s="237"/>
      <c r="C582" s="237"/>
      <c r="D582" s="237"/>
      <c r="E582" s="237"/>
      <c r="F582" s="237"/>
      <c r="G582" s="237"/>
      <c r="H582" s="237"/>
      <c r="I582" s="237"/>
      <c r="J582" s="212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  <c r="AA582" s="237"/>
      <c r="AB582" s="237"/>
      <c r="AC582" s="237"/>
    </row>
    <row r="583">
      <c r="A583" s="237"/>
      <c r="B583" s="237"/>
      <c r="C583" s="237"/>
      <c r="D583" s="237"/>
      <c r="E583" s="237"/>
      <c r="F583" s="237"/>
      <c r="G583" s="237"/>
      <c r="H583" s="237"/>
      <c r="I583" s="237"/>
      <c r="J583" s="212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  <c r="AA583" s="237"/>
      <c r="AB583" s="237"/>
      <c r="AC583" s="237"/>
    </row>
    <row r="584">
      <c r="A584" s="237"/>
      <c r="B584" s="237"/>
      <c r="C584" s="237"/>
      <c r="D584" s="237"/>
      <c r="E584" s="237"/>
      <c r="F584" s="237"/>
      <c r="G584" s="237"/>
      <c r="H584" s="237"/>
      <c r="I584" s="237"/>
      <c r="J584" s="212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  <c r="AA584" s="237"/>
      <c r="AB584" s="237"/>
      <c r="AC584" s="237"/>
    </row>
    <row r="585">
      <c r="A585" s="237"/>
      <c r="B585" s="237"/>
      <c r="C585" s="237"/>
      <c r="D585" s="237"/>
      <c r="E585" s="237"/>
      <c r="F585" s="237"/>
      <c r="G585" s="237"/>
      <c r="H585" s="237"/>
      <c r="I585" s="237"/>
      <c r="J585" s="212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  <c r="AA585" s="237"/>
      <c r="AB585" s="237"/>
      <c r="AC585" s="237"/>
    </row>
    <row r="586">
      <c r="A586" s="237"/>
      <c r="B586" s="237"/>
      <c r="C586" s="237"/>
      <c r="D586" s="237"/>
      <c r="E586" s="237"/>
      <c r="F586" s="237"/>
      <c r="G586" s="237"/>
      <c r="H586" s="237"/>
      <c r="I586" s="237"/>
      <c r="J586" s="212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  <c r="AA586" s="237"/>
      <c r="AB586" s="237"/>
      <c r="AC586" s="237"/>
    </row>
    <row r="587">
      <c r="A587" s="237"/>
      <c r="B587" s="237"/>
      <c r="C587" s="237"/>
      <c r="D587" s="237"/>
      <c r="E587" s="237"/>
      <c r="F587" s="237"/>
      <c r="G587" s="237"/>
      <c r="H587" s="237"/>
      <c r="I587" s="237"/>
      <c r="J587" s="212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  <c r="AA587" s="237"/>
      <c r="AB587" s="237"/>
      <c r="AC587" s="237"/>
    </row>
    <row r="588">
      <c r="A588" s="237"/>
      <c r="B588" s="237"/>
      <c r="C588" s="237"/>
      <c r="D588" s="237"/>
      <c r="E588" s="237"/>
      <c r="F588" s="237"/>
      <c r="G588" s="237"/>
      <c r="H588" s="237"/>
      <c r="I588" s="237"/>
      <c r="J588" s="212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  <c r="AA588" s="237"/>
      <c r="AB588" s="237"/>
      <c r="AC588" s="237"/>
    </row>
    <row r="589">
      <c r="A589" s="237"/>
      <c r="B589" s="237"/>
      <c r="C589" s="237"/>
      <c r="D589" s="237"/>
      <c r="E589" s="237"/>
      <c r="F589" s="237"/>
      <c r="G589" s="237"/>
      <c r="H589" s="237"/>
      <c r="I589" s="237"/>
      <c r="J589" s="212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  <c r="AA589" s="237"/>
      <c r="AB589" s="237"/>
      <c r="AC589" s="237"/>
    </row>
    <row r="590">
      <c r="A590" s="237"/>
      <c r="B590" s="237"/>
      <c r="C590" s="237"/>
      <c r="D590" s="237"/>
      <c r="E590" s="237"/>
      <c r="F590" s="237"/>
      <c r="G590" s="237"/>
      <c r="H590" s="237"/>
      <c r="I590" s="237"/>
      <c r="J590" s="212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  <c r="AA590" s="237"/>
      <c r="AB590" s="237"/>
      <c r="AC590" s="237"/>
    </row>
    <row r="591">
      <c r="A591" s="237"/>
      <c r="B591" s="237"/>
      <c r="C591" s="237"/>
      <c r="D591" s="237"/>
      <c r="E591" s="237"/>
      <c r="F591" s="237"/>
      <c r="G591" s="237"/>
      <c r="H591" s="237"/>
      <c r="I591" s="237"/>
      <c r="J591" s="212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  <c r="AA591" s="237"/>
      <c r="AB591" s="237"/>
      <c r="AC591" s="237"/>
    </row>
    <row r="592">
      <c r="A592" s="237"/>
      <c r="B592" s="237"/>
      <c r="C592" s="237"/>
      <c r="D592" s="237"/>
      <c r="E592" s="237"/>
      <c r="F592" s="237"/>
      <c r="G592" s="237"/>
      <c r="H592" s="237"/>
      <c r="I592" s="237"/>
      <c r="J592" s="212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  <c r="AA592" s="237"/>
      <c r="AB592" s="237"/>
      <c r="AC592" s="237"/>
    </row>
    <row r="593">
      <c r="A593" s="237"/>
      <c r="B593" s="237"/>
      <c r="C593" s="237"/>
      <c r="D593" s="237"/>
      <c r="E593" s="237"/>
      <c r="F593" s="237"/>
      <c r="G593" s="237"/>
      <c r="H593" s="237"/>
      <c r="I593" s="237"/>
      <c r="J593" s="212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  <c r="AA593" s="237"/>
      <c r="AB593" s="237"/>
      <c r="AC593" s="237"/>
    </row>
    <row r="594">
      <c r="A594" s="237"/>
      <c r="B594" s="237"/>
      <c r="C594" s="237"/>
      <c r="D594" s="237"/>
      <c r="E594" s="237"/>
      <c r="F594" s="237"/>
      <c r="G594" s="237"/>
      <c r="H594" s="237"/>
      <c r="I594" s="237"/>
      <c r="J594" s="212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  <c r="AA594" s="237"/>
      <c r="AB594" s="237"/>
      <c r="AC594" s="237"/>
    </row>
    <row r="595">
      <c r="A595" s="237"/>
      <c r="B595" s="237"/>
      <c r="C595" s="237"/>
      <c r="D595" s="237"/>
      <c r="E595" s="237"/>
      <c r="F595" s="237"/>
      <c r="G595" s="237"/>
      <c r="H595" s="237"/>
      <c r="I595" s="237"/>
      <c r="J595" s="212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  <c r="AA595" s="237"/>
      <c r="AB595" s="237"/>
      <c r="AC595" s="237"/>
    </row>
    <row r="596">
      <c r="A596" s="237"/>
      <c r="B596" s="237"/>
      <c r="C596" s="237"/>
      <c r="D596" s="237"/>
      <c r="E596" s="237"/>
      <c r="F596" s="237"/>
      <c r="G596" s="237"/>
      <c r="H596" s="237"/>
      <c r="I596" s="237"/>
      <c r="J596" s="212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  <c r="AA596" s="237"/>
      <c r="AB596" s="237"/>
      <c r="AC596" s="237"/>
    </row>
    <row r="597">
      <c r="A597" s="237"/>
      <c r="B597" s="237"/>
      <c r="C597" s="237"/>
      <c r="D597" s="237"/>
      <c r="E597" s="237"/>
      <c r="F597" s="237"/>
      <c r="G597" s="237"/>
      <c r="H597" s="237"/>
      <c r="I597" s="237"/>
      <c r="J597" s="212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  <c r="AA597" s="237"/>
      <c r="AB597" s="237"/>
      <c r="AC597" s="237"/>
    </row>
    <row r="598">
      <c r="A598" s="237"/>
      <c r="B598" s="237"/>
      <c r="C598" s="237"/>
      <c r="D598" s="237"/>
      <c r="E598" s="237"/>
      <c r="F598" s="237"/>
      <c r="G598" s="237"/>
      <c r="H598" s="237"/>
      <c r="I598" s="237"/>
      <c r="J598" s="212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  <c r="AA598" s="237"/>
      <c r="AB598" s="237"/>
      <c r="AC598" s="237"/>
    </row>
    <row r="599">
      <c r="A599" s="237"/>
      <c r="B599" s="237"/>
      <c r="C599" s="237"/>
      <c r="D599" s="237"/>
      <c r="E599" s="237"/>
      <c r="F599" s="237"/>
      <c r="G599" s="237"/>
      <c r="H599" s="237"/>
      <c r="I599" s="237"/>
      <c r="J599" s="212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  <c r="AA599" s="237"/>
      <c r="AB599" s="237"/>
      <c r="AC599" s="237"/>
    </row>
    <row r="600">
      <c r="A600" s="237"/>
      <c r="B600" s="237"/>
      <c r="C600" s="237"/>
      <c r="D600" s="237"/>
      <c r="E600" s="237"/>
      <c r="F600" s="237"/>
      <c r="G600" s="237"/>
      <c r="H600" s="237"/>
      <c r="I600" s="237"/>
      <c r="J600" s="212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  <c r="AA600" s="237"/>
      <c r="AB600" s="237"/>
      <c r="AC600" s="237"/>
    </row>
    <row r="601">
      <c r="A601" s="237"/>
      <c r="B601" s="237"/>
      <c r="C601" s="237"/>
      <c r="D601" s="237"/>
      <c r="E601" s="237"/>
      <c r="F601" s="237"/>
      <c r="G601" s="237"/>
      <c r="H601" s="237"/>
      <c r="I601" s="237"/>
      <c r="J601" s="212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  <c r="AA601" s="237"/>
      <c r="AB601" s="237"/>
      <c r="AC601" s="237"/>
    </row>
    <row r="602">
      <c r="A602" s="237"/>
      <c r="B602" s="237"/>
      <c r="C602" s="237"/>
      <c r="D602" s="237"/>
      <c r="E602" s="237"/>
      <c r="F602" s="237"/>
      <c r="G602" s="237"/>
      <c r="H602" s="237"/>
      <c r="I602" s="237"/>
      <c r="J602" s="212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  <c r="AA602" s="237"/>
      <c r="AB602" s="237"/>
      <c r="AC602" s="237"/>
    </row>
    <row r="603">
      <c r="A603" s="237"/>
      <c r="B603" s="237"/>
      <c r="C603" s="237"/>
      <c r="D603" s="237"/>
      <c r="E603" s="237"/>
      <c r="F603" s="237"/>
      <c r="G603" s="237"/>
      <c r="H603" s="237"/>
      <c r="I603" s="237"/>
      <c r="J603" s="212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  <c r="AA603" s="237"/>
      <c r="AB603" s="237"/>
      <c r="AC603" s="237"/>
    </row>
    <row r="604">
      <c r="A604" s="237"/>
      <c r="B604" s="237"/>
      <c r="C604" s="237"/>
      <c r="D604" s="237"/>
      <c r="E604" s="237"/>
      <c r="F604" s="237"/>
      <c r="G604" s="237"/>
      <c r="H604" s="237"/>
      <c r="I604" s="237"/>
      <c r="J604" s="212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  <c r="AA604" s="237"/>
      <c r="AB604" s="237"/>
      <c r="AC604" s="237"/>
    </row>
    <row r="605">
      <c r="A605" s="237"/>
      <c r="B605" s="237"/>
      <c r="C605" s="237"/>
      <c r="D605" s="237"/>
      <c r="E605" s="237"/>
      <c r="F605" s="237"/>
      <c r="G605" s="237"/>
      <c r="H605" s="237"/>
      <c r="I605" s="237"/>
      <c r="J605" s="212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  <c r="AA605" s="237"/>
      <c r="AB605" s="237"/>
      <c r="AC605" s="237"/>
    </row>
    <row r="606">
      <c r="A606" s="237"/>
      <c r="B606" s="237"/>
      <c r="C606" s="237"/>
      <c r="D606" s="237"/>
      <c r="E606" s="237"/>
      <c r="F606" s="237"/>
      <c r="G606" s="237"/>
      <c r="H606" s="237"/>
      <c r="I606" s="237"/>
      <c r="J606" s="212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  <c r="AA606" s="237"/>
      <c r="AB606" s="237"/>
      <c r="AC606" s="237"/>
    </row>
    <row r="607">
      <c r="A607" s="237"/>
      <c r="B607" s="237"/>
      <c r="C607" s="237"/>
      <c r="D607" s="237"/>
      <c r="E607" s="237"/>
      <c r="F607" s="237"/>
      <c r="G607" s="237"/>
      <c r="H607" s="237"/>
      <c r="I607" s="237"/>
      <c r="J607" s="212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  <c r="AC607" s="237"/>
    </row>
    <row r="608">
      <c r="A608" s="237"/>
      <c r="B608" s="237"/>
      <c r="C608" s="237"/>
      <c r="D608" s="237"/>
      <c r="E608" s="237"/>
      <c r="F608" s="237"/>
      <c r="G608" s="237"/>
      <c r="H608" s="237"/>
      <c r="I608" s="237"/>
      <c r="J608" s="212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  <c r="AA608" s="237"/>
      <c r="AB608" s="237"/>
      <c r="AC608" s="237"/>
    </row>
    <row r="609">
      <c r="A609" s="237"/>
      <c r="B609" s="237"/>
      <c r="C609" s="237"/>
      <c r="D609" s="237"/>
      <c r="E609" s="237"/>
      <c r="F609" s="237"/>
      <c r="G609" s="237"/>
      <c r="H609" s="237"/>
      <c r="I609" s="237"/>
      <c r="J609" s="212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  <c r="AA609" s="237"/>
      <c r="AB609" s="237"/>
      <c r="AC609" s="237"/>
    </row>
    <row r="610">
      <c r="A610" s="237"/>
      <c r="B610" s="237"/>
      <c r="C610" s="237"/>
      <c r="D610" s="237"/>
      <c r="E610" s="237"/>
      <c r="F610" s="237"/>
      <c r="G610" s="237"/>
      <c r="H610" s="237"/>
      <c r="I610" s="237"/>
      <c r="J610" s="212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  <c r="AA610" s="237"/>
      <c r="AB610" s="237"/>
      <c r="AC610" s="237"/>
    </row>
    <row r="611">
      <c r="A611" s="237"/>
      <c r="B611" s="237"/>
      <c r="C611" s="237"/>
      <c r="D611" s="237"/>
      <c r="E611" s="237"/>
      <c r="F611" s="237"/>
      <c r="G611" s="237"/>
      <c r="H611" s="237"/>
      <c r="I611" s="237"/>
      <c r="J611" s="212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  <c r="AA611" s="237"/>
      <c r="AB611" s="237"/>
      <c r="AC611" s="237"/>
    </row>
    <row r="612">
      <c r="A612" s="237"/>
      <c r="B612" s="237"/>
      <c r="C612" s="237"/>
      <c r="D612" s="237"/>
      <c r="E612" s="237"/>
      <c r="F612" s="237"/>
      <c r="G612" s="237"/>
      <c r="H612" s="237"/>
      <c r="I612" s="237"/>
      <c r="J612" s="212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  <c r="AA612" s="237"/>
      <c r="AB612" s="237"/>
      <c r="AC612" s="237"/>
    </row>
    <row r="613">
      <c r="A613" s="237"/>
      <c r="B613" s="237"/>
      <c r="C613" s="237"/>
      <c r="D613" s="237"/>
      <c r="E613" s="237"/>
      <c r="F613" s="237"/>
      <c r="G613" s="237"/>
      <c r="H613" s="237"/>
      <c r="I613" s="237"/>
      <c r="J613" s="212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  <c r="AA613" s="237"/>
      <c r="AB613" s="237"/>
      <c r="AC613" s="237"/>
    </row>
    <row r="614">
      <c r="A614" s="237"/>
      <c r="B614" s="237"/>
      <c r="C614" s="237"/>
      <c r="D614" s="237"/>
      <c r="E614" s="237"/>
      <c r="F614" s="237"/>
      <c r="G614" s="237"/>
      <c r="H614" s="237"/>
      <c r="I614" s="237"/>
      <c r="J614" s="212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  <c r="AA614" s="237"/>
      <c r="AB614" s="237"/>
      <c r="AC614" s="237"/>
    </row>
    <row r="615">
      <c r="A615" s="237"/>
      <c r="B615" s="237"/>
      <c r="C615" s="237"/>
      <c r="D615" s="237"/>
      <c r="E615" s="237"/>
      <c r="F615" s="237"/>
      <c r="G615" s="237"/>
      <c r="H615" s="237"/>
      <c r="I615" s="237"/>
      <c r="J615" s="212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  <c r="AA615" s="237"/>
      <c r="AB615" s="237"/>
      <c r="AC615" s="237"/>
    </row>
    <row r="616">
      <c r="A616" s="237"/>
      <c r="B616" s="237"/>
      <c r="C616" s="237"/>
      <c r="D616" s="237"/>
      <c r="E616" s="237"/>
      <c r="F616" s="237"/>
      <c r="G616" s="237"/>
      <c r="H616" s="237"/>
      <c r="I616" s="237"/>
      <c r="J616" s="212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  <c r="AA616" s="237"/>
      <c r="AB616" s="237"/>
      <c r="AC616" s="237"/>
    </row>
    <row r="617">
      <c r="A617" s="237"/>
      <c r="B617" s="237"/>
      <c r="C617" s="237"/>
      <c r="D617" s="237"/>
      <c r="E617" s="237"/>
      <c r="F617" s="237"/>
      <c r="G617" s="237"/>
      <c r="H617" s="237"/>
      <c r="I617" s="237"/>
      <c r="J617" s="212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  <c r="AA617" s="237"/>
      <c r="AB617" s="237"/>
      <c r="AC617" s="237"/>
    </row>
    <row r="618">
      <c r="A618" s="237"/>
      <c r="B618" s="237"/>
      <c r="C618" s="237"/>
      <c r="D618" s="237"/>
      <c r="E618" s="237"/>
      <c r="F618" s="237"/>
      <c r="G618" s="237"/>
      <c r="H618" s="237"/>
      <c r="I618" s="237"/>
      <c r="J618" s="212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  <c r="AA618" s="237"/>
      <c r="AB618" s="237"/>
      <c r="AC618" s="237"/>
    </row>
    <row r="619">
      <c r="A619" s="237"/>
      <c r="B619" s="237"/>
      <c r="C619" s="237"/>
      <c r="D619" s="237"/>
      <c r="E619" s="237"/>
      <c r="F619" s="237"/>
      <c r="G619" s="237"/>
      <c r="H619" s="237"/>
      <c r="I619" s="237"/>
      <c r="J619" s="212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  <c r="AA619" s="237"/>
      <c r="AB619" s="237"/>
      <c r="AC619" s="237"/>
    </row>
    <row r="620">
      <c r="A620" s="237"/>
      <c r="B620" s="237"/>
      <c r="C620" s="237"/>
      <c r="D620" s="237"/>
      <c r="E620" s="237"/>
      <c r="F620" s="237"/>
      <c r="G620" s="237"/>
      <c r="H620" s="237"/>
      <c r="I620" s="237"/>
      <c r="J620" s="212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  <c r="AA620" s="237"/>
      <c r="AB620" s="237"/>
      <c r="AC620" s="237"/>
    </row>
    <row r="621">
      <c r="A621" s="237"/>
      <c r="B621" s="237"/>
      <c r="C621" s="237"/>
      <c r="D621" s="237"/>
      <c r="E621" s="237"/>
      <c r="F621" s="237"/>
      <c r="G621" s="237"/>
      <c r="H621" s="237"/>
      <c r="I621" s="237"/>
      <c r="J621" s="212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  <c r="AA621" s="237"/>
      <c r="AB621" s="237"/>
      <c r="AC621" s="237"/>
    </row>
    <row r="622">
      <c r="A622" s="237"/>
      <c r="B622" s="237"/>
      <c r="C622" s="237"/>
      <c r="D622" s="237"/>
      <c r="E622" s="237"/>
      <c r="F622" s="237"/>
      <c r="G622" s="237"/>
      <c r="H622" s="237"/>
      <c r="I622" s="237"/>
      <c r="J622" s="212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  <c r="AA622" s="237"/>
      <c r="AB622" s="237"/>
      <c r="AC622" s="237"/>
    </row>
    <row r="623">
      <c r="A623" s="237"/>
      <c r="B623" s="237"/>
      <c r="C623" s="237"/>
      <c r="D623" s="237"/>
      <c r="E623" s="237"/>
      <c r="F623" s="237"/>
      <c r="G623" s="237"/>
      <c r="H623" s="237"/>
      <c r="I623" s="237"/>
      <c r="J623" s="212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  <c r="AA623" s="237"/>
      <c r="AB623" s="237"/>
      <c r="AC623" s="237"/>
    </row>
    <row r="624">
      <c r="A624" s="237"/>
      <c r="B624" s="237"/>
      <c r="C624" s="237"/>
      <c r="D624" s="237"/>
      <c r="E624" s="237"/>
      <c r="F624" s="237"/>
      <c r="G624" s="237"/>
      <c r="H624" s="237"/>
      <c r="I624" s="237"/>
      <c r="J624" s="212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  <c r="AA624" s="237"/>
      <c r="AB624" s="237"/>
      <c r="AC624" s="237"/>
    </row>
    <row r="625">
      <c r="A625" s="237"/>
      <c r="B625" s="237"/>
      <c r="C625" s="237"/>
      <c r="D625" s="237"/>
      <c r="E625" s="237"/>
      <c r="F625" s="237"/>
      <c r="G625" s="237"/>
      <c r="H625" s="237"/>
      <c r="I625" s="237"/>
      <c r="J625" s="212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  <c r="AA625" s="237"/>
      <c r="AB625" s="237"/>
      <c r="AC625" s="237"/>
    </row>
    <row r="626">
      <c r="A626" s="237"/>
      <c r="B626" s="237"/>
      <c r="C626" s="237"/>
      <c r="D626" s="237"/>
      <c r="E626" s="237"/>
      <c r="F626" s="237"/>
      <c r="G626" s="237"/>
      <c r="H626" s="237"/>
      <c r="I626" s="237"/>
      <c r="J626" s="212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  <c r="AA626" s="237"/>
      <c r="AB626" s="237"/>
      <c r="AC626" s="237"/>
    </row>
    <row r="627">
      <c r="A627" s="237"/>
      <c r="B627" s="237"/>
      <c r="C627" s="237"/>
      <c r="D627" s="237"/>
      <c r="E627" s="237"/>
      <c r="F627" s="237"/>
      <c r="G627" s="237"/>
      <c r="H627" s="237"/>
      <c r="I627" s="237"/>
      <c r="J627" s="212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  <c r="AA627" s="237"/>
      <c r="AB627" s="237"/>
      <c r="AC627" s="237"/>
    </row>
    <row r="628">
      <c r="A628" s="237"/>
      <c r="B628" s="237"/>
      <c r="C628" s="237"/>
      <c r="D628" s="237"/>
      <c r="E628" s="237"/>
      <c r="F628" s="237"/>
      <c r="G628" s="237"/>
      <c r="H628" s="237"/>
      <c r="I628" s="237"/>
      <c r="J628" s="212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  <c r="AA628" s="237"/>
      <c r="AB628" s="237"/>
      <c r="AC628" s="237"/>
    </row>
    <row r="629">
      <c r="A629" s="237"/>
      <c r="B629" s="237"/>
      <c r="C629" s="237"/>
      <c r="D629" s="237"/>
      <c r="E629" s="237"/>
      <c r="F629" s="237"/>
      <c r="G629" s="237"/>
      <c r="H629" s="237"/>
      <c r="I629" s="237"/>
      <c r="J629" s="212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  <c r="AA629" s="237"/>
      <c r="AB629" s="237"/>
      <c r="AC629" s="237"/>
    </row>
    <row r="630">
      <c r="A630" s="237"/>
      <c r="B630" s="237"/>
      <c r="C630" s="237"/>
      <c r="D630" s="237"/>
      <c r="E630" s="237"/>
      <c r="F630" s="237"/>
      <c r="G630" s="237"/>
      <c r="H630" s="237"/>
      <c r="I630" s="237"/>
      <c r="J630" s="212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  <c r="AA630" s="237"/>
      <c r="AB630" s="237"/>
      <c r="AC630" s="237"/>
    </row>
    <row r="631">
      <c r="A631" s="237"/>
      <c r="B631" s="237"/>
      <c r="C631" s="237"/>
      <c r="D631" s="237"/>
      <c r="E631" s="237"/>
      <c r="F631" s="237"/>
      <c r="G631" s="237"/>
      <c r="H631" s="237"/>
      <c r="I631" s="237"/>
      <c r="J631" s="212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  <c r="AA631" s="237"/>
      <c r="AB631" s="237"/>
      <c r="AC631" s="237"/>
    </row>
    <row r="632">
      <c r="A632" s="237"/>
      <c r="B632" s="237"/>
      <c r="C632" s="237"/>
      <c r="D632" s="237"/>
      <c r="E632" s="237"/>
      <c r="F632" s="237"/>
      <c r="G632" s="237"/>
      <c r="H632" s="237"/>
      <c r="I632" s="237"/>
      <c r="J632" s="212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  <c r="AA632" s="237"/>
      <c r="AB632" s="237"/>
      <c r="AC632" s="237"/>
    </row>
    <row r="633">
      <c r="A633" s="237"/>
      <c r="B633" s="237"/>
      <c r="C633" s="237"/>
      <c r="D633" s="237"/>
      <c r="E633" s="237"/>
      <c r="F633" s="237"/>
      <c r="G633" s="237"/>
      <c r="H633" s="237"/>
      <c r="I633" s="237"/>
      <c r="J633" s="212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  <c r="AA633" s="237"/>
      <c r="AB633" s="237"/>
      <c r="AC633" s="237"/>
    </row>
    <row r="634">
      <c r="A634" s="237"/>
      <c r="B634" s="237"/>
      <c r="C634" s="237"/>
      <c r="D634" s="237"/>
      <c r="E634" s="237"/>
      <c r="F634" s="237"/>
      <c r="G634" s="237"/>
      <c r="H634" s="237"/>
      <c r="I634" s="237"/>
      <c r="J634" s="212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  <c r="AA634" s="237"/>
      <c r="AB634" s="237"/>
      <c r="AC634" s="237"/>
    </row>
    <row r="635">
      <c r="A635" s="237"/>
      <c r="B635" s="237"/>
      <c r="C635" s="237"/>
      <c r="D635" s="237"/>
      <c r="E635" s="237"/>
      <c r="F635" s="237"/>
      <c r="G635" s="237"/>
      <c r="H635" s="237"/>
      <c r="I635" s="237"/>
      <c r="J635" s="212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  <c r="AA635" s="237"/>
      <c r="AB635" s="237"/>
      <c r="AC635" s="237"/>
    </row>
    <row r="636">
      <c r="A636" s="237"/>
      <c r="B636" s="237"/>
      <c r="C636" s="237"/>
      <c r="D636" s="237"/>
      <c r="E636" s="237"/>
      <c r="F636" s="237"/>
      <c r="G636" s="237"/>
      <c r="H636" s="237"/>
      <c r="I636" s="237"/>
      <c r="J636" s="212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  <c r="AA636" s="237"/>
      <c r="AB636" s="237"/>
      <c r="AC636" s="237"/>
    </row>
    <row r="637">
      <c r="A637" s="237"/>
      <c r="B637" s="237"/>
      <c r="C637" s="237"/>
      <c r="D637" s="237"/>
      <c r="E637" s="237"/>
      <c r="F637" s="237"/>
      <c r="G637" s="237"/>
      <c r="H637" s="237"/>
      <c r="I637" s="237"/>
      <c r="J637" s="212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  <c r="AA637" s="237"/>
      <c r="AB637" s="237"/>
      <c r="AC637" s="237"/>
    </row>
    <row r="638">
      <c r="A638" s="237"/>
      <c r="B638" s="237"/>
      <c r="C638" s="237"/>
      <c r="D638" s="237"/>
      <c r="E638" s="237"/>
      <c r="F638" s="237"/>
      <c r="G638" s="237"/>
      <c r="H638" s="237"/>
      <c r="I638" s="237"/>
      <c r="J638" s="212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  <c r="AA638" s="237"/>
      <c r="AB638" s="237"/>
      <c r="AC638" s="237"/>
    </row>
    <row r="639">
      <c r="A639" s="237"/>
      <c r="B639" s="237"/>
      <c r="C639" s="237"/>
      <c r="D639" s="237"/>
      <c r="E639" s="237"/>
      <c r="F639" s="237"/>
      <c r="G639" s="237"/>
      <c r="H639" s="237"/>
      <c r="I639" s="237"/>
      <c r="J639" s="212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  <c r="AA639" s="237"/>
      <c r="AB639" s="237"/>
      <c r="AC639" s="237"/>
    </row>
    <row r="640">
      <c r="A640" s="237"/>
      <c r="B640" s="237"/>
      <c r="C640" s="237"/>
      <c r="D640" s="237"/>
      <c r="E640" s="237"/>
      <c r="F640" s="237"/>
      <c r="G640" s="237"/>
      <c r="H640" s="237"/>
      <c r="I640" s="237"/>
      <c r="J640" s="212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  <c r="AA640" s="237"/>
      <c r="AB640" s="237"/>
      <c r="AC640" s="237"/>
    </row>
    <row r="641">
      <c r="A641" s="237"/>
      <c r="B641" s="237"/>
      <c r="C641" s="237"/>
      <c r="D641" s="237"/>
      <c r="E641" s="237"/>
      <c r="F641" s="237"/>
      <c r="G641" s="237"/>
      <c r="H641" s="237"/>
      <c r="I641" s="237"/>
      <c r="J641" s="212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  <c r="AA641" s="237"/>
      <c r="AB641" s="237"/>
      <c r="AC641" s="237"/>
    </row>
    <row r="642">
      <c r="A642" s="237"/>
      <c r="B642" s="237"/>
      <c r="C642" s="237"/>
      <c r="D642" s="237"/>
      <c r="E642" s="237"/>
      <c r="F642" s="237"/>
      <c r="G642" s="237"/>
      <c r="H642" s="237"/>
      <c r="I642" s="237"/>
      <c r="J642" s="212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  <c r="AA642" s="237"/>
      <c r="AB642" s="237"/>
      <c r="AC642" s="237"/>
    </row>
    <row r="643">
      <c r="A643" s="237"/>
      <c r="B643" s="237"/>
      <c r="C643" s="237"/>
      <c r="D643" s="237"/>
      <c r="E643" s="237"/>
      <c r="F643" s="237"/>
      <c r="G643" s="237"/>
      <c r="H643" s="237"/>
      <c r="I643" s="237"/>
      <c r="J643" s="212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  <c r="AA643" s="237"/>
      <c r="AB643" s="237"/>
      <c r="AC643" s="237"/>
    </row>
    <row r="644">
      <c r="A644" s="237"/>
      <c r="B644" s="237"/>
      <c r="C644" s="237"/>
      <c r="D644" s="237"/>
      <c r="E644" s="237"/>
      <c r="F644" s="237"/>
      <c r="G644" s="237"/>
      <c r="H644" s="237"/>
      <c r="I644" s="237"/>
      <c r="J644" s="212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  <c r="AA644" s="237"/>
      <c r="AB644" s="237"/>
      <c r="AC644" s="237"/>
    </row>
    <row r="645">
      <c r="A645" s="237"/>
      <c r="B645" s="237"/>
      <c r="C645" s="237"/>
      <c r="D645" s="237"/>
      <c r="E645" s="237"/>
      <c r="F645" s="237"/>
      <c r="G645" s="237"/>
      <c r="H645" s="237"/>
      <c r="I645" s="237"/>
      <c r="J645" s="212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  <c r="AA645" s="237"/>
      <c r="AB645" s="237"/>
      <c r="AC645" s="237"/>
    </row>
    <row r="646">
      <c r="A646" s="237"/>
      <c r="B646" s="237"/>
      <c r="C646" s="237"/>
      <c r="D646" s="237"/>
      <c r="E646" s="237"/>
      <c r="F646" s="237"/>
      <c r="G646" s="237"/>
      <c r="H646" s="237"/>
      <c r="I646" s="237"/>
      <c r="J646" s="212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  <c r="AA646" s="237"/>
      <c r="AB646" s="237"/>
      <c r="AC646" s="237"/>
    </row>
    <row r="647">
      <c r="A647" s="237"/>
      <c r="B647" s="237"/>
      <c r="C647" s="237"/>
      <c r="D647" s="237"/>
      <c r="E647" s="237"/>
      <c r="F647" s="237"/>
      <c r="G647" s="237"/>
      <c r="H647" s="237"/>
      <c r="I647" s="237"/>
      <c r="J647" s="212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  <c r="AA647" s="237"/>
      <c r="AB647" s="237"/>
      <c r="AC647" s="237"/>
    </row>
    <row r="648">
      <c r="A648" s="237"/>
      <c r="B648" s="237"/>
      <c r="C648" s="237"/>
      <c r="D648" s="237"/>
      <c r="E648" s="237"/>
      <c r="F648" s="237"/>
      <c r="G648" s="237"/>
      <c r="H648" s="237"/>
      <c r="I648" s="237"/>
      <c r="J648" s="212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  <c r="AA648" s="237"/>
      <c r="AB648" s="237"/>
      <c r="AC648" s="237"/>
    </row>
    <row r="649">
      <c r="A649" s="237"/>
      <c r="B649" s="237"/>
      <c r="C649" s="237"/>
      <c r="D649" s="237"/>
      <c r="E649" s="237"/>
      <c r="F649" s="237"/>
      <c r="G649" s="237"/>
      <c r="H649" s="237"/>
      <c r="I649" s="237"/>
      <c r="J649" s="212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  <c r="AA649" s="237"/>
      <c r="AB649" s="237"/>
      <c r="AC649" s="237"/>
    </row>
    <row r="650">
      <c r="A650" s="237"/>
      <c r="B650" s="237"/>
      <c r="C650" s="237"/>
      <c r="D650" s="237"/>
      <c r="E650" s="237"/>
      <c r="F650" s="237"/>
      <c r="G650" s="237"/>
      <c r="H650" s="237"/>
      <c r="I650" s="237"/>
      <c r="J650" s="212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  <c r="AA650" s="237"/>
      <c r="AB650" s="237"/>
      <c r="AC650" s="237"/>
    </row>
    <row r="651">
      <c r="A651" s="237"/>
      <c r="B651" s="237"/>
      <c r="C651" s="237"/>
      <c r="D651" s="237"/>
      <c r="E651" s="237"/>
      <c r="F651" s="237"/>
      <c r="G651" s="237"/>
      <c r="H651" s="237"/>
      <c r="I651" s="237"/>
      <c r="J651" s="212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  <c r="AA651" s="237"/>
      <c r="AB651" s="237"/>
      <c r="AC651" s="237"/>
    </row>
    <row r="652">
      <c r="A652" s="237"/>
      <c r="B652" s="237"/>
      <c r="C652" s="237"/>
      <c r="D652" s="237"/>
      <c r="E652" s="237"/>
      <c r="F652" s="237"/>
      <c r="G652" s="237"/>
      <c r="H652" s="237"/>
      <c r="I652" s="237"/>
      <c r="J652" s="212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  <c r="AA652" s="237"/>
      <c r="AB652" s="237"/>
      <c r="AC652" s="237"/>
    </row>
    <row r="653">
      <c r="A653" s="237"/>
      <c r="B653" s="237"/>
      <c r="C653" s="237"/>
      <c r="D653" s="237"/>
      <c r="E653" s="237"/>
      <c r="F653" s="237"/>
      <c r="G653" s="237"/>
      <c r="H653" s="237"/>
      <c r="I653" s="237"/>
      <c r="J653" s="212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  <c r="AA653" s="237"/>
      <c r="AB653" s="237"/>
      <c r="AC653" s="237"/>
    </row>
    <row r="654">
      <c r="A654" s="237"/>
      <c r="B654" s="237"/>
      <c r="C654" s="237"/>
      <c r="D654" s="237"/>
      <c r="E654" s="237"/>
      <c r="F654" s="237"/>
      <c r="G654" s="237"/>
      <c r="H654" s="237"/>
      <c r="I654" s="237"/>
      <c r="J654" s="212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  <c r="AA654" s="237"/>
      <c r="AB654" s="237"/>
      <c r="AC654" s="237"/>
    </row>
    <row r="655">
      <c r="A655" s="237"/>
      <c r="B655" s="237"/>
      <c r="C655" s="237"/>
      <c r="D655" s="237"/>
      <c r="E655" s="237"/>
      <c r="F655" s="237"/>
      <c r="G655" s="237"/>
      <c r="H655" s="237"/>
      <c r="I655" s="237"/>
      <c r="J655" s="212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  <c r="AA655" s="237"/>
      <c r="AB655" s="237"/>
      <c r="AC655" s="237"/>
    </row>
    <row r="656">
      <c r="A656" s="237"/>
      <c r="B656" s="237"/>
      <c r="C656" s="237"/>
      <c r="D656" s="237"/>
      <c r="E656" s="237"/>
      <c r="F656" s="237"/>
      <c r="G656" s="237"/>
      <c r="H656" s="237"/>
      <c r="I656" s="237"/>
      <c r="J656" s="212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  <c r="AA656" s="237"/>
      <c r="AB656" s="237"/>
      <c r="AC656" s="237"/>
    </row>
    <row r="657">
      <c r="A657" s="237"/>
      <c r="B657" s="237"/>
      <c r="C657" s="237"/>
      <c r="D657" s="237"/>
      <c r="E657" s="237"/>
      <c r="F657" s="237"/>
      <c r="G657" s="237"/>
      <c r="H657" s="237"/>
      <c r="I657" s="237"/>
      <c r="J657" s="212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  <c r="AA657" s="237"/>
      <c r="AB657" s="237"/>
      <c r="AC657" s="237"/>
    </row>
    <row r="658">
      <c r="A658" s="237"/>
      <c r="B658" s="237"/>
      <c r="C658" s="237"/>
      <c r="D658" s="237"/>
      <c r="E658" s="237"/>
      <c r="F658" s="237"/>
      <c r="G658" s="237"/>
      <c r="H658" s="237"/>
      <c r="I658" s="237"/>
      <c r="J658" s="212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  <c r="AA658" s="237"/>
      <c r="AB658" s="237"/>
      <c r="AC658" s="237"/>
    </row>
    <row r="659">
      <c r="A659" s="237"/>
      <c r="B659" s="237"/>
      <c r="C659" s="237"/>
      <c r="D659" s="237"/>
      <c r="E659" s="237"/>
      <c r="F659" s="237"/>
      <c r="G659" s="237"/>
      <c r="H659" s="237"/>
      <c r="I659" s="237"/>
      <c r="J659" s="212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  <c r="AA659" s="237"/>
      <c r="AB659" s="237"/>
      <c r="AC659" s="237"/>
    </row>
    <row r="660">
      <c r="A660" s="237"/>
      <c r="B660" s="237"/>
      <c r="C660" s="237"/>
      <c r="D660" s="237"/>
      <c r="E660" s="237"/>
      <c r="F660" s="237"/>
      <c r="G660" s="237"/>
      <c r="H660" s="237"/>
      <c r="I660" s="237"/>
      <c r="J660" s="212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  <c r="AA660" s="237"/>
      <c r="AB660" s="237"/>
      <c r="AC660" s="237"/>
    </row>
    <row r="661">
      <c r="A661" s="237"/>
      <c r="B661" s="237"/>
      <c r="C661" s="237"/>
      <c r="D661" s="237"/>
      <c r="E661" s="237"/>
      <c r="F661" s="237"/>
      <c r="G661" s="237"/>
      <c r="H661" s="237"/>
      <c r="I661" s="237"/>
      <c r="J661" s="212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  <c r="AA661" s="237"/>
      <c r="AB661" s="237"/>
      <c r="AC661" s="237"/>
    </row>
    <row r="662">
      <c r="A662" s="237"/>
      <c r="B662" s="237"/>
      <c r="C662" s="237"/>
      <c r="D662" s="237"/>
      <c r="E662" s="237"/>
      <c r="F662" s="237"/>
      <c r="G662" s="237"/>
      <c r="H662" s="237"/>
      <c r="I662" s="237"/>
      <c r="J662" s="212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  <c r="AA662" s="237"/>
      <c r="AB662" s="237"/>
      <c r="AC662" s="237"/>
    </row>
    <row r="663">
      <c r="A663" s="237"/>
      <c r="B663" s="237"/>
      <c r="C663" s="237"/>
      <c r="D663" s="237"/>
      <c r="E663" s="237"/>
      <c r="F663" s="237"/>
      <c r="G663" s="237"/>
      <c r="H663" s="237"/>
      <c r="I663" s="237"/>
      <c r="J663" s="212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  <c r="AA663" s="237"/>
      <c r="AB663" s="237"/>
      <c r="AC663" s="237"/>
    </row>
    <row r="664">
      <c r="A664" s="237"/>
      <c r="B664" s="237"/>
      <c r="C664" s="237"/>
      <c r="D664" s="237"/>
      <c r="E664" s="237"/>
      <c r="F664" s="237"/>
      <c r="G664" s="237"/>
      <c r="H664" s="237"/>
      <c r="I664" s="237"/>
      <c r="J664" s="212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  <c r="AA664" s="237"/>
      <c r="AB664" s="237"/>
      <c r="AC664" s="237"/>
    </row>
    <row r="665">
      <c r="A665" s="237"/>
      <c r="B665" s="237"/>
      <c r="C665" s="237"/>
      <c r="D665" s="237"/>
      <c r="E665" s="237"/>
      <c r="F665" s="237"/>
      <c r="G665" s="237"/>
      <c r="H665" s="237"/>
      <c r="I665" s="237"/>
      <c r="J665" s="212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  <c r="AA665" s="237"/>
      <c r="AB665" s="237"/>
      <c r="AC665" s="237"/>
    </row>
    <row r="666">
      <c r="A666" s="237"/>
      <c r="B666" s="237"/>
      <c r="C666" s="237"/>
      <c r="D666" s="237"/>
      <c r="E666" s="237"/>
      <c r="F666" s="237"/>
      <c r="G666" s="237"/>
      <c r="H666" s="237"/>
      <c r="I666" s="237"/>
      <c r="J666" s="212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  <c r="AA666" s="237"/>
      <c r="AB666" s="237"/>
      <c r="AC666" s="237"/>
    </row>
    <row r="667">
      <c r="A667" s="237"/>
      <c r="B667" s="237"/>
      <c r="C667" s="237"/>
      <c r="D667" s="237"/>
      <c r="E667" s="237"/>
      <c r="F667" s="237"/>
      <c r="G667" s="237"/>
      <c r="H667" s="237"/>
      <c r="I667" s="237"/>
      <c r="J667" s="212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  <c r="AA667" s="237"/>
      <c r="AB667" s="237"/>
      <c r="AC667" s="237"/>
    </row>
    <row r="668">
      <c r="A668" s="237"/>
      <c r="B668" s="237"/>
      <c r="C668" s="237"/>
      <c r="D668" s="237"/>
      <c r="E668" s="237"/>
      <c r="F668" s="237"/>
      <c r="G668" s="237"/>
      <c r="H668" s="237"/>
      <c r="I668" s="237"/>
      <c r="J668" s="212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  <c r="AA668" s="237"/>
      <c r="AB668" s="237"/>
      <c r="AC668" s="237"/>
    </row>
    <row r="669">
      <c r="A669" s="237"/>
      <c r="B669" s="237"/>
      <c r="C669" s="237"/>
      <c r="D669" s="237"/>
      <c r="E669" s="237"/>
      <c r="F669" s="237"/>
      <c r="G669" s="237"/>
      <c r="H669" s="237"/>
      <c r="I669" s="237"/>
      <c r="J669" s="212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  <c r="AA669" s="237"/>
      <c r="AB669" s="237"/>
      <c r="AC669" s="237"/>
    </row>
    <row r="670">
      <c r="A670" s="237"/>
      <c r="B670" s="237"/>
      <c r="C670" s="237"/>
      <c r="D670" s="237"/>
      <c r="E670" s="237"/>
      <c r="F670" s="237"/>
      <c r="G670" s="237"/>
      <c r="H670" s="237"/>
      <c r="I670" s="237"/>
      <c r="J670" s="212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  <c r="AA670" s="237"/>
      <c r="AB670" s="237"/>
      <c r="AC670" s="237"/>
    </row>
    <row r="671">
      <c r="A671" s="237"/>
      <c r="B671" s="237"/>
      <c r="C671" s="237"/>
      <c r="D671" s="237"/>
      <c r="E671" s="237"/>
      <c r="F671" s="237"/>
      <c r="G671" s="237"/>
      <c r="H671" s="237"/>
      <c r="I671" s="237"/>
      <c r="J671" s="212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  <c r="AA671" s="237"/>
      <c r="AB671" s="237"/>
      <c r="AC671" s="237"/>
    </row>
    <row r="672">
      <c r="A672" s="237"/>
      <c r="B672" s="237"/>
      <c r="C672" s="237"/>
      <c r="D672" s="237"/>
      <c r="E672" s="237"/>
      <c r="F672" s="237"/>
      <c r="G672" s="237"/>
      <c r="H672" s="237"/>
      <c r="I672" s="237"/>
      <c r="J672" s="212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  <c r="AA672" s="237"/>
      <c r="AB672" s="237"/>
      <c r="AC672" s="237"/>
    </row>
    <row r="673">
      <c r="A673" s="237"/>
      <c r="B673" s="237"/>
      <c r="C673" s="237"/>
      <c r="D673" s="237"/>
      <c r="E673" s="237"/>
      <c r="F673" s="237"/>
      <c r="G673" s="237"/>
      <c r="H673" s="237"/>
      <c r="I673" s="237"/>
      <c r="J673" s="212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  <c r="AA673" s="237"/>
      <c r="AB673" s="237"/>
      <c r="AC673" s="237"/>
    </row>
    <row r="674">
      <c r="A674" s="237"/>
      <c r="B674" s="237"/>
      <c r="C674" s="237"/>
      <c r="D674" s="237"/>
      <c r="E674" s="237"/>
      <c r="F674" s="237"/>
      <c r="G674" s="237"/>
      <c r="H674" s="237"/>
      <c r="I674" s="237"/>
      <c r="J674" s="212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  <c r="AA674" s="237"/>
      <c r="AB674" s="237"/>
      <c r="AC674" s="237"/>
    </row>
    <row r="675">
      <c r="A675" s="237"/>
      <c r="B675" s="237"/>
      <c r="C675" s="237"/>
      <c r="D675" s="237"/>
      <c r="E675" s="237"/>
      <c r="F675" s="237"/>
      <c r="G675" s="237"/>
      <c r="H675" s="237"/>
      <c r="I675" s="237"/>
      <c r="J675" s="212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  <c r="AA675" s="237"/>
      <c r="AB675" s="237"/>
      <c r="AC675" s="237"/>
    </row>
    <row r="676">
      <c r="A676" s="237"/>
      <c r="B676" s="237"/>
      <c r="C676" s="237"/>
      <c r="D676" s="237"/>
      <c r="E676" s="237"/>
      <c r="F676" s="237"/>
      <c r="G676" s="237"/>
      <c r="H676" s="237"/>
      <c r="I676" s="237"/>
      <c r="J676" s="212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  <c r="AA676" s="237"/>
      <c r="AB676" s="237"/>
      <c r="AC676" s="237"/>
    </row>
    <row r="677">
      <c r="A677" s="237"/>
      <c r="B677" s="237"/>
      <c r="C677" s="237"/>
      <c r="D677" s="237"/>
      <c r="E677" s="237"/>
      <c r="F677" s="237"/>
      <c r="G677" s="237"/>
      <c r="H677" s="237"/>
      <c r="I677" s="237"/>
      <c r="J677" s="212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  <c r="AA677" s="237"/>
      <c r="AB677" s="237"/>
      <c r="AC677" s="237"/>
    </row>
    <row r="678">
      <c r="A678" s="237"/>
      <c r="B678" s="237"/>
      <c r="C678" s="237"/>
      <c r="D678" s="237"/>
      <c r="E678" s="237"/>
      <c r="F678" s="237"/>
      <c r="G678" s="237"/>
      <c r="H678" s="237"/>
      <c r="I678" s="237"/>
      <c r="J678" s="212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  <c r="AA678" s="237"/>
      <c r="AB678" s="237"/>
      <c r="AC678" s="237"/>
    </row>
    <row r="679">
      <c r="A679" s="237"/>
      <c r="B679" s="237"/>
      <c r="C679" s="237"/>
      <c r="D679" s="237"/>
      <c r="E679" s="237"/>
      <c r="F679" s="237"/>
      <c r="G679" s="237"/>
      <c r="H679" s="237"/>
      <c r="I679" s="237"/>
      <c r="J679" s="212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  <c r="AA679" s="237"/>
      <c r="AB679" s="237"/>
      <c r="AC679" s="237"/>
    </row>
    <row r="680">
      <c r="A680" s="237"/>
      <c r="B680" s="237"/>
      <c r="C680" s="237"/>
      <c r="D680" s="237"/>
      <c r="E680" s="237"/>
      <c r="F680" s="237"/>
      <c r="G680" s="237"/>
      <c r="H680" s="237"/>
      <c r="I680" s="237"/>
      <c r="J680" s="212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  <c r="AA680" s="237"/>
      <c r="AB680" s="237"/>
      <c r="AC680" s="237"/>
    </row>
    <row r="681">
      <c r="A681" s="237"/>
      <c r="B681" s="237"/>
      <c r="C681" s="237"/>
      <c r="D681" s="237"/>
      <c r="E681" s="237"/>
      <c r="F681" s="237"/>
      <c r="G681" s="237"/>
      <c r="H681" s="237"/>
      <c r="I681" s="237"/>
      <c r="J681" s="212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  <c r="AA681" s="237"/>
      <c r="AB681" s="237"/>
      <c r="AC681" s="237"/>
    </row>
    <row r="682">
      <c r="A682" s="237"/>
      <c r="B682" s="237"/>
      <c r="C682" s="237"/>
      <c r="D682" s="237"/>
      <c r="E682" s="237"/>
      <c r="F682" s="237"/>
      <c r="G682" s="237"/>
      <c r="H682" s="237"/>
      <c r="I682" s="237"/>
      <c r="J682" s="212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  <c r="AA682" s="237"/>
      <c r="AB682" s="237"/>
      <c r="AC682" s="237"/>
    </row>
    <row r="683">
      <c r="A683" s="237"/>
      <c r="B683" s="237"/>
      <c r="C683" s="237"/>
      <c r="D683" s="237"/>
      <c r="E683" s="237"/>
      <c r="F683" s="237"/>
      <c r="G683" s="237"/>
      <c r="H683" s="237"/>
      <c r="I683" s="237"/>
      <c r="J683" s="212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  <c r="AA683" s="237"/>
      <c r="AB683" s="237"/>
      <c r="AC683" s="237"/>
    </row>
    <row r="684">
      <c r="A684" s="237"/>
      <c r="B684" s="237"/>
      <c r="C684" s="237"/>
      <c r="D684" s="237"/>
      <c r="E684" s="237"/>
      <c r="F684" s="237"/>
      <c r="G684" s="237"/>
      <c r="H684" s="237"/>
      <c r="I684" s="237"/>
      <c r="J684" s="212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  <c r="AA684" s="237"/>
      <c r="AB684" s="237"/>
      <c r="AC684" s="237"/>
    </row>
    <row r="685">
      <c r="A685" s="237"/>
      <c r="B685" s="237"/>
      <c r="C685" s="237"/>
      <c r="D685" s="237"/>
      <c r="E685" s="237"/>
      <c r="F685" s="237"/>
      <c r="G685" s="237"/>
      <c r="H685" s="237"/>
      <c r="I685" s="237"/>
      <c r="J685" s="212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  <c r="AA685" s="237"/>
      <c r="AB685" s="237"/>
      <c r="AC685" s="237"/>
    </row>
    <row r="686">
      <c r="A686" s="237"/>
      <c r="B686" s="237"/>
      <c r="C686" s="237"/>
      <c r="D686" s="237"/>
      <c r="E686" s="237"/>
      <c r="F686" s="237"/>
      <c r="G686" s="237"/>
      <c r="H686" s="237"/>
      <c r="I686" s="237"/>
      <c r="J686" s="212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  <c r="AA686" s="237"/>
      <c r="AB686" s="237"/>
      <c r="AC686" s="237"/>
    </row>
    <row r="687">
      <c r="A687" s="237"/>
      <c r="B687" s="237"/>
      <c r="C687" s="237"/>
      <c r="D687" s="237"/>
      <c r="E687" s="237"/>
      <c r="F687" s="237"/>
      <c r="G687" s="237"/>
      <c r="H687" s="237"/>
      <c r="I687" s="237"/>
      <c r="J687" s="212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  <c r="AA687" s="237"/>
      <c r="AB687" s="237"/>
      <c r="AC687" s="237"/>
    </row>
    <row r="688">
      <c r="A688" s="237"/>
      <c r="B688" s="237"/>
      <c r="C688" s="237"/>
      <c r="D688" s="237"/>
      <c r="E688" s="237"/>
      <c r="F688" s="237"/>
      <c r="G688" s="237"/>
      <c r="H688" s="237"/>
      <c r="I688" s="237"/>
      <c r="J688" s="212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  <c r="AA688" s="237"/>
      <c r="AB688" s="237"/>
      <c r="AC688" s="237"/>
    </row>
    <row r="689">
      <c r="A689" s="237"/>
      <c r="B689" s="237"/>
      <c r="C689" s="237"/>
      <c r="D689" s="237"/>
      <c r="E689" s="237"/>
      <c r="F689" s="237"/>
      <c r="G689" s="237"/>
      <c r="H689" s="237"/>
      <c r="I689" s="237"/>
      <c r="J689" s="212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  <c r="AA689" s="237"/>
      <c r="AB689" s="237"/>
      <c r="AC689" s="237"/>
    </row>
    <row r="690">
      <c r="A690" s="237"/>
      <c r="B690" s="237"/>
      <c r="C690" s="237"/>
      <c r="D690" s="237"/>
      <c r="E690" s="237"/>
      <c r="F690" s="237"/>
      <c r="G690" s="237"/>
      <c r="H690" s="237"/>
      <c r="I690" s="237"/>
      <c r="J690" s="212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  <c r="AA690" s="237"/>
      <c r="AB690" s="237"/>
      <c r="AC690" s="237"/>
    </row>
    <row r="691">
      <c r="A691" s="237"/>
      <c r="B691" s="237"/>
      <c r="C691" s="237"/>
      <c r="D691" s="237"/>
      <c r="E691" s="237"/>
      <c r="F691" s="237"/>
      <c r="G691" s="237"/>
      <c r="H691" s="237"/>
      <c r="I691" s="237"/>
      <c r="J691" s="212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  <c r="AA691" s="237"/>
      <c r="AB691" s="237"/>
      <c r="AC691" s="237"/>
    </row>
    <row r="692">
      <c r="A692" s="237"/>
      <c r="B692" s="237"/>
      <c r="C692" s="237"/>
      <c r="D692" s="237"/>
      <c r="E692" s="237"/>
      <c r="F692" s="237"/>
      <c r="G692" s="237"/>
      <c r="H692" s="237"/>
      <c r="I692" s="237"/>
      <c r="J692" s="212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  <c r="AA692" s="237"/>
      <c r="AB692" s="237"/>
      <c r="AC692" s="237"/>
    </row>
    <row r="693">
      <c r="A693" s="237"/>
      <c r="B693" s="237"/>
      <c r="C693" s="237"/>
      <c r="D693" s="237"/>
      <c r="E693" s="237"/>
      <c r="F693" s="237"/>
      <c r="G693" s="237"/>
      <c r="H693" s="237"/>
      <c r="I693" s="237"/>
      <c r="J693" s="212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  <c r="AA693" s="237"/>
      <c r="AB693" s="237"/>
      <c r="AC693" s="237"/>
    </row>
    <row r="694">
      <c r="A694" s="237"/>
      <c r="B694" s="237"/>
      <c r="C694" s="237"/>
      <c r="D694" s="237"/>
      <c r="E694" s="237"/>
      <c r="F694" s="237"/>
      <c r="G694" s="237"/>
      <c r="H694" s="237"/>
      <c r="I694" s="237"/>
      <c r="J694" s="212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  <c r="AA694" s="237"/>
      <c r="AB694" s="237"/>
      <c r="AC694" s="237"/>
    </row>
    <row r="695">
      <c r="A695" s="237"/>
      <c r="B695" s="237"/>
      <c r="C695" s="237"/>
      <c r="D695" s="237"/>
      <c r="E695" s="237"/>
      <c r="F695" s="237"/>
      <c r="G695" s="237"/>
      <c r="H695" s="237"/>
      <c r="I695" s="237"/>
      <c r="J695" s="212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  <c r="AA695" s="237"/>
      <c r="AB695" s="237"/>
      <c r="AC695" s="237"/>
    </row>
    <row r="696">
      <c r="A696" s="237"/>
      <c r="B696" s="237"/>
      <c r="C696" s="237"/>
      <c r="D696" s="237"/>
      <c r="E696" s="237"/>
      <c r="F696" s="237"/>
      <c r="G696" s="237"/>
      <c r="H696" s="237"/>
      <c r="I696" s="237"/>
      <c r="J696" s="212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  <c r="AA696" s="237"/>
      <c r="AB696" s="237"/>
      <c r="AC696" s="237"/>
    </row>
    <row r="697">
      <c r="A697" s="237"/>
      <c r="B697" s="237"/>
      <c r="C697" s="237"/>
      <c r="D697" s="237"/>
      <c r="E697" s="237"/>
      <c r="F697" s="237"/>
      <c r="G697" s="237"/>
      <c r="H697" s="237"/>
      <c r="I697" s="237"/>
      <c r="J697" s="212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  <c r="AA697" s="237"/>
      <c r="AB697" s="237"/>
      <c r="AC697" s="237"/>
    </row>
    <row r="698">
      <c r="A698" s="237"/>
      <c r="B698" s="237"/>
      <c r="C698" s="237"/>
      <c r="D698" s="237"/>
      <c r="E698" s="237"/>
      <c r="F698" s="237"/>
      <c r="G698" s="237"/>
      <c r="H698" s="237"/>
      <c r="I698" s="237"/>
      <c r="J698" s="212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  <c r="AA698" s="237"/>
      <c r="AB698" s="237"/>
      <c r="AC698" s="237"/>
    </row>
    <row r="699">
      <c r="A699" s="237"/>
      <c r="B699" s="237"/>
      <c r="C699" s="237"/>
      <c r="D699" s="237"/>
      <c r="E699" s="237"/>
      <c r="F699" s="237"/>
      <c r="G699" s="237"/>
      <c r="H699" s="237"/>
      <c r="I699" s="237"/>
      <c r="J699" s="212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  <c r="AA699" s="237"/>
      <c r="AB699" s="237"/>
      <c r="AC699" s="237"/>
    </row>
    <row r="700">
      <c r="A700" s="237"/>
      <c r="B700" s="237"/>
      <c r="C700" s="237"/>
      <c r="D700" s="237"/>
      <c r="E700" s="237"/>
      <c r="F700" s="237"/>
      <c r="G700" s="237"/>
      <c r="H700" s="237"/>
      <c r="I700" s="237"/>
      <c r="J700" s="212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  <c r="AA700" s="237"/>
      <c r="AB700" s="237"/>
      <c r="AC700" s="237"/>
    </row>
    <row r="701">
      <c r="A701" s="237"/>
      <c r="B701" s="237"/>
      <c r="C701" s="237"/>
      <c r="D701" s="237"/>
      <c r="E701" s="237"/>
      <c r="F701" s="237"/>
      <c r="G701" s="237"/>
      <c r="H701" s="237"/>
      <c r="I701" s="237"/>
      <c r="J701" s="212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  <c r="AA701" s="237"/>
      <c r="AB701" s="237"/>
      <c r="AC701" s="237"/>
    </row>
    <row r="702">
      <c r="A702" s="237"/>
      <c r="B702" s="237"/>
      <c r="C702" s="237"/>
      <c r="D702" s="237"/>
      <c r="E702" s="237"/>
      <c r="F702" s="237"/>
      <c r="G702" s="237"/>
      <c r="H702" s="237"/>
      <c r="I702" s="237"/>
      <c r="J702" s="212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  <c r="AA702" s="237"/>
      <c r="AB702" s="237"/>
      <c r="AC702" s="237"/>
    </row>
    <row r="703">
      <c r="A703" s="237"/>
      <c r="B703" s="237"/>
      <c r="C703" s="237"/>
      <c r="D703" s="237"/>
      <c r="E703" s="237"/>
      <c r="F703" s="237"/>
      <c r="G703" s="237"/>
      <c r="H703" s="237"/>
      <c r="I703" s="237"/>
      <c r="J703" s="212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  <c r="AA703" s="237"/>
      <c r="AB703" s="237"/>
      <c r="AC703" s="237"/>
    </row>
    <row r="704">
      <c r="A704" s="237"/>
      <c r="B704" s="237"/>
      <c r="C704" s="237"/>
      <c r="D704" s="237"/>
      <c r="E704" s="237"/>
      <c r="F704" s="237"/>
      <c r="G704" s="237"/>
      <c r="H704" s="237"/>
      <c r="I704" s="237"/>
      <c r="J704" s="212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  <c r="AA704" s="237"/>
      <c r="AB704" s="237"/>
      <c r="AC704" s="237"/>
    </row>
    <row r="705">
      <c r="A705" s="237"/>
      <c r="B705" s="237"/>
      <c r="C705" s="237"/>
      <c r="D705" s="237"/>
      <c r="E705" s="237"/>
      <c r="F705" s="237"/>
      <c r="G705" s="237"/>
      <c r="H705" s="237"/>
      <c r="I705" s="237"/>
      <c r="J705" s="212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  <c r="AA705" s="237"/>
      <c r="AB705" s="237"/>
      <c r="AC705" s="237"/>
    </row>
    <row r="706">
      <c r="A706" s="237"/>
      <c r="B706" s="237"/>
      <c r="C706" s="237"/>
      <c r="D706" s="237"/>
      <c r="E706" s="237"/>
      <c r="F706" s="237"/>
      <c r="G706" s="237"/>
      <c r="H706" s="237"/>
      <c r="I706" s="237"/>
      <c r="J706" s="212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  <c r="AA706" s="237"/>
      <c r="AB706" s="237"/>
      <c r="AC706" s="237"/>
    </row>
    <row r="707">
      <c r="A707" s="237"/>
      <c r="B707" s="237"/>
      <c r="C707" s="237"/>
      <c r="D707" s="237"/>
      <c r="E707" s="237"/>
      <c r="F707" s="237"/>
      <c r="G707" s="237"/>
      <c r="H707" s="237"/>
      <c r="I707" s="237"/>
      <c r="J707" s="212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  <c r="AA707" s="237"/>
      <c r="AB707" s="237"/>
      <c r="AC707" s="237"/>
    </row>
    <row r="708">
      <c r="A708" s="237"/>
      <c r="B708" s="237"/>
      <c r="C708" s="237"/>
      <c r="D708" s="237"/>
      <c r="E708" s="237"/>
      <c r="F708" s="237"/>
      <c r="G708" s="237"/>
      <c r="H708" s="237"/>
      <c r="I708" s="237"/>
      <c r="J708" s="212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  <c r="AA708" s="237"/>
      <c r="AB708" s="237"/>
      <c r="AC708" s="237"/>
    </row>
    <row r="709">
      <c r="A709" s="237"/>
      <c r="B709" s="237"/>
      <c r="C709" s="237"/>
      <c r="D709" s="237"/>
      <c r="E709" s="237"/>
      <c r="F709" s="237"/>
      <c r="G709" s="237"/>
      <c r="H709" s="237"/>
      <c r="I709" s="237"/>
      <c r="J709" s="212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  <c r="AA709" s="237"/>
      <c r="AB709" s="237"/>
      <c r="AC709" s="237"/>
    </row>
    <row r="710">
      <c r="A710" s="237"/>
      <c r="B710" s="237"/>
      <c r="C710" s="237"/>
      <c r="D710" s="237"/>
      <c r="E710" s="237"/>
      <c r="F710" s="237"/>
      <c r="G710" s="237"/>
      <c r="H710" s="237"/>
      <c r="I710" s="237"/>
      <c r="J710" s="212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  <c r="AA710" s="237"/>
      <c r="AB710" s="237"/>
      <c r="AC710" s="237"/>
    </row>
    <row r="711">
      <c r="A711" s="237"/>
      <c r="B711" s="237"/>
      <c r="C711" s="237"/>
      <c r="D711" s="237"/>
      <c r="E711" s="237"/>
      <c r="F711" s="237"/>
      <c r="G711" s="237"/>
      <c r="H711" s="237"/>
      <c r="I711" s="237"/>
      <c r="J711" s="212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  <c r="AA711" s="237"/>
      <c r="AB711" s="237"/>
      <c r="AC711" s="237"/>
    </row>
    <row r="712">
      <c r="A712" s="237"/>
      <c r="B712" s="237"/>
      <c r="C712" s="237"/>
      <c r="D712" s="237"/>
      <c r="E712" s="237"/>
      <c r="F712" s="237"/>
      <c r="G712" s="237"/>
      <c r="H712" s="237"/>
      <c r="I712" s="237"/>
      <c r="J712" s="212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  <c r="AA712" s="237"/>
      <c r="AB712" s="237"/>
      <c r="AC712" s="237"/>
    </row>
    <row r="713">
      <c r="A713" s="237"/>
      <c r="B713" s="237"/>
      <c r="C713" s="237"/>
      <c r="D713" s="237"/>
      <c r="E713" s="237"/>
      <c r="F713" s="237"/>
      <c r="G713" s="237"/>
      <c r="H713" s="237"/>
      <c r="I713" s="237"/>
      <c r="J713" s="212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  <c r="AA713" s="237"/>
      <c r="AB713" s="237"/>
      <c r="AC713" s="237"/>
    </row>
    <row r="714">
      <c r="A714" s="237"/>
      <c r="B714" s="237"/>
      <c r="C714" s="237"/>
      <c r="D714" s="237"/>
      <c r="E714" s="237"/>
      <c r="F714" s="237"/>
      <c r="G714" s="237"/>
      <c r="H714" s="237"/>
      <c r="I714" s="237"/>
      <c r="J714" s="212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237"/>
      <c r="AC714" s="237"/>
    </row>
    <row r="715">
      <c r="A715" s="237"/>
      <c r="B715" s="237"/>
      <c r="C715" s="237"/>
      <c r="D715" s="237"/>
      <c r="E715" s="237"/>
      <c r="F715" s="237"/>
      <c r="G715" s="237"/>
      <c r="H715" s="237"/>
      <c r="I715" s="237"/>
      <c r="J715" s="212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  <c r="AA715" s="237"/>
      <c r="AB715" s="237"/>
      <c r="AC715" s="237"/>
    </row>
    <row r="716">
      <c r="A716" s="237"/>
      <c r="B716" s="237"/>
      <c r="C716" s="237"/>
      <c r="D716" s="237"/>
      <c r="E716" s="237"/>
      <c r="F716" s="237"/>
      <c r="G716" s="237"/>
      <c r="H716" s="237"/>
      <c r="I716" s="237"/>
      <c r="J716" s="212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  <c r="AA716" s="237"/>
      <c r="AB716" s="237"/>
      <c r="AC716" s="237"/>
    </row>
    <row r="717">
      <c r="A717" s="237"/>
      <c r="B717" s="237"/>
      <c r="C717" s="237"/>
      <c r="D717" s="237"/>
      <c r="E717" s="237"/>
      <c r="F717" s="237"/>
      <c r="G717" s="237"/>
      <c r="H717" s="237"/>
      <c r="I717" s="237"/>
      <c r="J717" s="212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  <c r="AA717" s="237"/>
      <c r="AB717" s="237"/>
      <c r="AC717" s="237"/>
    </row>
    <row r="718">
      <c r="A718" s="237"/>
      <c r="B718" s="237"/>
      <c r="C718" s="237"/>
      <c r="D718" s="237"/>
      <c r="E718" s="237"/>
      <c r="F718" s="237"/>
      <c r="G718" s="237"/>
      <c r="H718" s="237"/>
      <c r="I718" s="237"/>
      <c r="J718" s="212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  <c r="AA718" s="237"/>
      <c r="AB718" s="237"/>
      <c r="AC718" s="237"/>
    </row>
    <row r="719">
      <c r="A719" s="237"/>
      <c r="B719" s="237"/>
      <c r="C719" s="237"/>
      <c r="D719" s="237"/>
      <c r="E719" s="237"/>
      <c r="F719" s="237"/>
      <c r="G719" s="237"/>
      <c r="H719" s="237"/>
      <c r="I719" s="237"/>
      <c r="J719" s="212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  <c r="AA719" s="237"/>
      <c r="AB719" s="237"/>
      <c r="AC719" s="237"/>
    </row>
    <row r="720">
      <c r="A720" s="237"/>
      <c r="B720" s="237"/>
      <c r="C720" s="237"/>
      <c r="D720" s="237"/>
      <c r="E720" s="237"/>
      <c r="F720" s="237"/>
      <c r="G720" s="237"/>
      <c r="H720" s="237"/>
      <c r="I720" s="237"/>
      <c r="J720" s="212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  <c r="AA720" s="237"/>
      <c r="AB720" s="237"/>
      <c r="AC720" s="237"/>
    </row>
    <row r="721">
      <c r="A721" s="237"/>
      <c r="B721" s="237"/>
      <c r="C721" s="237"/>
      <c r="D721" s="237"/>
      <c r="E721" s="237"/>
      <c r="F721" s="237"/>
      <c r="G721" s="237"/>
      <c r="H721" s="237"/>
      <c r="I721" s="237"/>
      <c r="J721" s="212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  <c r="AA721" s="237"/>
      <c r="AB721" s="237"/>
      <c r="AC721" s="237"/>
    </row>
    <row r="722">
      <c r="A722" s="237"/>
      <c r="B722" s="237"/>
      <c r="C722" s="237"/>
      <c r="D722" s="237"/>
      <c r="E722" s="237"/>
      <c r="F722" s="237"/>
      <c r="G722" s="237"/>
      <c r="H722" s="237"/>
      <c r="I722" s="237"/>
      <c r="J722" s="212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  <c r="AA722" s="237"/>
      <c r="AB722" s="237"/>
      <c r="AC722" s="237"/>
    </row>
    <row r="723">
      <c r="A723" s="237"/>
      <c r="B723" s="237"/>
      <c r="C723" s="237"/>
      <c r="D723" s="237"/>
      <c r="E723" s="237"/>
      <c r="F723" s="237"/>
      <c r="G723" s="237"/>
      <c r="H723" s="237"/>
      <c r="I723" s="237"/>
      <c r="J723" s="212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  <c r="AA723" s="237"/>
      <c r="AB723" s="237"/>
      <c r="AC723" s="237"/>
    </row>
    <row r="724">
      <c r="A724" s="237"/>
      <c r="B724" s="237"/>
      <c r="C724" s="237"/>
      <c r="D724" s="237"/>
      <c r="E724" s="237"/>
      <c r="F724" s="237"/>
      <c r="G724" s="237"/>
      <c r="H724" s="237"/>
      <c r="I724" s="237"/>
      <c r="J724" s="212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  <c r="AA724" s="237"/>
      <c r="AB724" s="237"/>
      <c r="AC724" s="237"/>
    </row>
    <row r="725">
      <c r="A725" s="237"/>
      <c r="B725" s="237"/>
      <c r="C725" s="237"/>
      <c r="D725" s="237"/>
      <c r="E725" s="237"/>
      <c r="F725" s="237"/>
      <c r="G725" s="237"/>
      <c r="H725" s="237"/>
      <c r="I725" s="237"/>
      <c r="J725" s="212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  <c r="AA725" s="237"/>
      <c r="AB725" s="237"/>
      <c r="AC725" s="237"/>
    </row>
    <row r="726">
      <c r="A726" s="237"/>
      <c r="B726" s="237"/>
      <c r="C726" s="237"/>
      <c r="D726" s="237"/>
      <c r="E726" s="237"/>
      <c r="F726" s="237"/>
      <c r="G726" s="237"/>
      <c r="H726" s="237"/>
      <c r="I726" s="237"/>
      <c r="J726" s="212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  <c r="AA726" s="237"/>
      <c r="AB726" s="237"/>
      <c r="AC726" s="237"/>
    </row>
    <row r="727">
      <c r="A727" s="237"/>
      <c r="B727" s="237"/>
      <c r="C727" s="237"/>
      <c r="D727" s="237"/>
      <c r="E727" s="237"/>
      <c r="F727" s="237"/>
      <c r="G727" s="237"/>
      <c r="H727" s="237"/>
      <c r="I727" s="237"/>
      <c r="J727" s="212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  <c r="AA727" s="237"/>
      <c r="AB727" s="237"/>
      <c r="AC727" s="237"/>
    </row>
    <row r="728">
      <c r="A728" s="237"/>
      <c r="B728" s="237"/>
      <c r="C728" s="237"/>
      <c r="D728" s="237"/>
      <c r="E728" s="237"/>
      <c r="F728" s="237"/>
      <c r="G728" s="237"/>
      <c r="H728" s="237"/>
      <c r="I728" s="237"/>
      <c r="J728" s="212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  <c r="AA728" s="237"/>
      <c r="AB728" s="237"/>
      <c r="AC728" s="237"/>
    </row>
    <row r="729">
      <c r="A729" s="237"/>
      <c r="B729" s="237"/>
      <c r="C729" s="237"/>
      <c r="D729" s="237"/>
      <c r="E729" s="237"/>
      <c r="F729" s="237"/>
      <c r="G729" s="237"/>
      <c r="H729" s="237"/>
      <c r="I729" s="237"/>
      <c r="J729" s="212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  <c r="AA729" s="237"/>
      <c r="AB729" s="237"/>
      <c r="AC729" s="237"/>
    </row>
    <row r="730">
      <c r="A730" s="237"/>
      <c r="B730" s="237"/>
      <c r="C730" s="237"/>
      <c r="D730" s="237"/>
      <c r="E730" s="237"/>
      <c r="F730" s="237"/>
      <c r="G730" s="237"/>
      <c r="H730" s="237"/>
      <c r="I730" s="237"/>
      <c r="J730" s="212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  <c r="AA730" s="237"/>
      <c r="AB730" s="237"/>
      <c r="AC730" s="237"/>
    </row>
    <row r="731">
      <c r="A731" s="237"/>
      <c r="B731" s="237"/>
      <c r="C731" s="237"/>
      <c r="D731" s="237"/>
      <c r="E731" s="237"/>
      <c r="F731" s="237"/>
      <c r="G731" s="237"/>
      <c r="H731" s="237"/>
      <c r="I731" s="237"/>
      <c r="J731" s="212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  <c r="AA731" s="237"/>
      <c r="AB731" s="237"/>
      <c r="AC731" s="237"/>
    </row>
    <row r="732">
      <c r="A732" s="237"/>
      <c r="B732" s="237"/>
      <c r="C732" s="237"/>
      <c r="D732" s="237"/>
      <c r="E732" s="237"/>
      <c r="F732" s="237"/>
      <c r="G732" s="237"/>
      <c r="H732" s="237"/>
      <c r="I732" s="237"/>
      <c r="J732" s="212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  <c r="AA732" s="237"/>
      <c r="AB732" s="237"/>
      <c r="AC732" s="237"/>
    </row>
    <row r="733">
      <c r="A733" s="237"/>
      <c r="B733" s="237"/>
      <c r="C733" s="237"/>
      <c r="D733" s="237"/>
      <c r="E733" s="237"/>
      <c r="F733" s="237"/>
      <c r="G733" s="237"/>
      <c r="H733" s="237"/>
      <c r="I733" s="237"/>
      <c r="J733" s="212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  <c r="AA733" s="237"/>
      <c r="AB733" s="237"/>
      <c r="AC733" s="237"/>
    </row>
    <row r="734">
      <c r="A734" s="237"/>
      <c r="B734" s="237"/>
      <c r="C734" s="237"/>
      <c r="D734" s="237"/>
      <c r="E734" s="237"/>
      <c r="F734" s="237"/>
      <c r="G734" s="237"/>
      <c r="H734" s="237"/>
      <c r="I734" s="237"/>
      <c r="J734" s="212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  <c r="AA734" s="237"/>
      <c r="AB734" s="237"/>
      <c r="AC734" s="237"/>
    </row>
    <row r="735">
      <c r="A735" s="237"/>
      <c r="B735" s="237"/>
      <c r="C735" s="237"/>
      <c r="D735" s="237"/>
      <c r="E735" s="237"/>
      <c r="F735" s="237"/>
      <c r="G735" s="237"/>
      <c r="H735" s="237"/>
      <c r="I735" s="237"/>
      <c r="J735" s="212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  <c r="AA735" s="237"/>
      <c r="AB735" s="237"/>
      <c r="AC735" s="237"/>
    </row>
    <row r="736">
      <c r="A736" s="237"/>
      <c r="B736" s="237"/>
      <c r="C736" s="237"/>
      <c r="D736" s="237"/>
      <c r="E736" s="237"/>
      <c r="F736" s="237"/>
      <c r="G736" s="237"/>
      <c r="H736" s="237"/>
      <c r="I736" s="237"/>
      <c r="J736" s="212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  <c r="AA736" s="237"/>
      <c r="AB736" s="237"/>
      <c r="AC736" s="237"/>
    </row>
    <row r="737">
      <c r="A737" s="237"/>
      <c r="B737" s="237"/>
      <c r="C737" s="237"/>
      <c r="D737" s="237"/>
      <c r="E737" s="237"/>
      <c r="F737" s="237"/>
      <c r="G737" s="237"/>
      <c r="H737" s="237"/>
      <c r="I737" s="237"/>
      <c r="J737" s="212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  <c r="AA737" s="237"/>
      <c r="AB737" s="237"/>
      <c r="AC737" s="237"/>
    </row>
    <row r="738">
      <c r="A738" s="237"/>
      <c r="B738" s="237"/>
      <c r="C738" s="237"/>
      <c r="D738" s="237"/>
      <c r="E738" s="237"/>
      <c r="F738" s="237"/>
      <c r="G738" s="237"/>
      <c r="H738" s="237"/>
      <c r="I738" s="237"/>
      <c r="J738" s="212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  <c r="AA738" s="237"/>
      <c r="AB738" s="237"/>
      <c r="AC738" s="237"/>
    </row>
    <row r="739">
      <c r="A739" s="237"/>
      <c r="B739" s="237"/>
      <c r="C739" s="237"/>
      <c r="D739" s="237"/>
      <c r="E739" s="237"/>
      <c r="F739" s="237"/>
      <c r="G739" s="237"/>
      <c r="H739" s="237"/>
      <c r="I739" s="237"/>
      <c r="J739" s="212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  <c r="AA739" s="237"/>
      <c r="AB739" s="237"/>
      <c r="AC739" s="237"/>
    </row>
    <row r="740">
      <c r="A740" s="237"/>
      <c r="B740" s="237"/>
      <c r="C740" s="237"/>
      <c r="D740" s="237"/>
      <c r="E740" s="237"/>
      <c r="F740" s="237"/>
      <c r="G740" s="237"/>
      <c r="H740" s="237"/>
      <c r="I740" s="237"/>
      <c r="J740" s="212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  <c r="AA740" s="237"/>
      <c r="AB740" s="237"/>
      <c r="AC740" s="237"/>
    </row>
    <row r="741">
      <c r="A741" s="237"/>
      <c r="B741" s="237"/>
      <c r="C741" s="237"/>
      <c r="D741" s="237"/>
      <c r="E741" s="237"/>
      <c r="F741" s="237"/>
      <c r="G741" s="237"/>
      <c r="H741" s="237"/>
      <c r="I741" s="237"/>
      <c r="J741" s="212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  <c r="AA741" s="237"/>
      <c r="AB741" s="237"/>
      <c r="AC741" s="237"/>
    </row>
    <row r="742">
      <c r="A742" s="237"/>
      <c r="B742" s="237"/>
      <c r="C742" s="237"/>
      <c r="D742" s="237"/>
      <c r="E742" s="237"/>
      <c r="F742" s="237"/>
      <c r="G742" s="237"/>
      <c r="H742" s="237"/>
      <c r="I742" s="237"/>
      <c r="J742" s="212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  <c r="AA742" s="237"/>
      <c r="AB742" s="237"/>
      <c r="AC742" s="237"/>
    </row>
    <row r="743">
      <c r="A743" s="237"/>
      <c r="B743" s="237"/>
      <c r="C743" s="237"/>
      <c r="D743" s="237"/>
      <c r="E743" s="237"/>
      <c r="F743" s="237"/>
      <c r="G743" s="237"/>
      <c r="H743" s="237"/>
      <c r="I743" s="237"/>
      <c r="J743" s="212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  <c r="AA743" s="237"/>
      <c r="AB743" s="237"/>
      <c r="AC743" s="237"/>
    </row>
    <row r="744">
      <c r="A744" s="237"/>
      <c r="B744" s="237"/>
      <c r="C744" s="237"/>
      <c r="D744" s="237"/>
      <c r="E744" s="237"/>
      <c r="F744" s="237"/>
      <c r="G744" s="237"/>
      <c r="H744" s="237"/>
      <c r="I744" s="237"/>
      <c r="J744" s="212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  <c r="AA744" s="237"/>
      <c r="AB744" s="237"/>
      <c r="AC744" s="237"/>
    </row>
    <row r="745">
      <c r="A745" s="237"/>
      <c r="B745" s="237"/>
      <c r="C745" s="237"/>
      <c r="D745" s="237"/>
      <c r="E745" s="237"/>
      <c r="F745" s="237"/>
      <c r="G745" s="237"/>
      <c r="H745" s="237"/>
      <c r="I745" s="237"/>
      <c r="J745" s="212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  <c r="AA745" s="237"/>
      <c r="AB745" s="237"/>
      <c r="AC745" s="237"/>
    </row>
    <row r="746">
      <c r="A746" s="237"/>
      <c r="B746" s="237"/>
      <c r="C746" s="237"/>
      <c r="D746" s="237"/>
      <c r="E746" s="237"/>
      <c r="F746" s="237"/>
      <c r="G746" s="237"/>
      <c r="H746" s="237"/>
      <c r="I746" s="237"/>
      <c r="J746" s="212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  <c r="AA746" s="237"/>
      <c r="AB746" s="237"/>
      <c r="AC746" s="237"/>
    </row>
    <row r="747">
      <c r="A747" s="237"/>
      <c r="B747" s="237"/>
      <c r="C747" s="237"/>
      <c r="D747" s="237"/>
      <c r="E747" s="237"/>
      <c r="F747" s="237"/>
      <c r="G747" s="237"/>
      <c r="H747" s="237"/>
      <c r="I747" s="237"/>
      <c r="J747" s="212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  <c r="AA747" s="237"/>
      <c r="AB747" s="237"/>
      <c r="AC747" s="237"/>
    </row>
    <row r="748">
      <c r="A748" s="237"/>
      <c r="B748" s="237"/>
      <c r="C748" s="237"/>
      <c r="D748" s="237"/>
      <c r="E748" s="237"/>
      <c r="F748" s="237"/>
      <c r="G748" s="237"/>
      <c r="H748" s="237"/>
      <c r="I748" s="237"/>
      <c r="J748" s="212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  <c r="AA748" s="237"/>
      <c r="AB748" s="237"/>
      <c r="AC748" s="237"/>
    </row>
    <row r="749">
      <c r="A749" s="237"/>
      <c r="B749" s="237"/>
      <c r="C749" s="237"/>
      <c r="D749" s="237"/>
      <c r="E749" s="237"/>
      <c r="F749" s="237"/>
      <c r="G749" s="237"/>
      <c r="H749" s="237"/>
      <c r="I749" s="237"/>
      <c r="J749" s="212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  <c r="AA749" s="237"/>
      <c r="AB749" s="237"/>
      <c r="AC749" s="237"/>
    </row>
    <row r="750">
      <c r="A750" s="237"/>
      <c r="B750" s="237"/>
      <c r="C750" s="237"/>
      <c r="D750" s="237"/>
      <c r="E750" s="237"/>
      <c r="F750" s="237"/>
      <c r="G750" s="237"/>
      <c r="H750" s="237"/>
      <c r="I750" s="237"/>
      <c r="J750" s="212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  <c r="AA750" s="237"/>
      <c r="AB750" s="237"/>
      <c r="AC750" s="237"/>
    </row>
    <row r="751">
      <c r="A751" s="237"/>
      <c r="B751" s="237"/>
      <c r="C751" s="237"/>
      <c r="D751" s="237"/>
      <c r="E751" s="237"/>
      <c r="F751" s="237"/>
      <c r="G751" s="237"/>
      <c r="H751" s="237"/>
      <c r="I751" s="237"/>
      <c r="J751" s="212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  <c r="AA751" s="237"/>
      <c r="AB751" s="237"/>
      <c r="AC751" s="237"/>
    </row>
    <row r="752">
      <c r="A752" s="237"/>
      <c r="B752" s="237"/>
      <c r="C752" s="237"/>
      <c r="D752" s="237"/>
      <c r="E752" s="237"/>
      <c r="F752" s="237"/>
      <c r="G752" s="237"/>
      <c r="H752" s="237"/>
      <c r="I752" s="237"/>
      <c r="J752" s="212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  <c r="AA752" s="237"/>
      <c r="AB752" s="237"/>
      <c r="AC752" s="237"/>
    </row>
    <row r="753">
      <c r="A753" s="237"/>
      <c r="B753" s="237"/>
      <c r="C753" s="237"/>
      <c r="D753" s="237"/>
      <c r="E753" s="237"/>
      <c r="F753" s="237"/>
      <c r="G753" s="237"/>
      <c r="H753" s="237"/>
      <c r="I753" s="237"/>
      <c r="J753" s="212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  <c r="AA753" s="237"/>
      <c r="AB753" s="237"/>
      <c r="AC753" s="237"/>
    </row>
    <row r="754">
      <c r="A754" s="237"/>
      <c r="B754" s="237"/>
      <c r="C754" s="237"/>
      <c r="D754" s="237"/>
      <c r="E754" s="237"/>
      <c r="F754" s="237"/>
      <c r="G754" s="237"/>
      <c r="H754" s="237"/>
      <c r="I754" s="237"/>
      <c r="J754" s="212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  <c r="AA754" s="237"/>
      <c r="AB754" s="237"/>
      <c r="AC754" s="237"/>
    </row>
    <row r="755">
      <c r="A755" s="237"/>
      <c r="B755" s="237"/>
      <c r="C755" s="237"/>
      <c r="D755" s="237"/>
      <c r="E755" s="237"/>
      <c r="F755" s="237"/>
      <c r="G755" s="237"/>
      <c r="H755" s="237"/>
      <c r="I755" s="237"/>
      <c r="J755" s="212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  <c r="AA755" s="237"/>
      <c r="AB755" s="237"/>
      <c r="AC755" s="237"/>
    </row>
    <row r="756">
      <c r="A756" s="237"/>
      <c r="B756" s="237"/>
      <c r="C756" s="237"/>
      <c r="D756" s="237"/>
      <c r="E756" s="237"/>
      <c r="F756" s="237"/>
      <c r="G756" s="237"/>
      <c r="H756" s="237"/>
      <c r="I756" s="237"/>
      <c r="J756" s="212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  <c r="AA756" s="237"/>
      <c r="AB756" s="237"/>
      <c r="AC756" s="237"/>
    </row>
    <row r="757">
      <c r="A757" s="237"/>
      <c r="B757" s="237"/>
      <c r="C757" s="237"/>
      <c r="D757" s="237"/>
      <c r="E757" s="237"/>
      <c r="F757" s="237"/>
      <c r="G757" s="237"/>
      <c r="H757" s="237"/>
      <c r="I757" s="237"/>
      <c r="J757" s="212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  <c r="AA757" s="237"/>
      <c r="AB757" s="237"/>
      <c r="AC757" s="237"/>
    </row>
    <row r="758">
      <c r="A758" s="237"/>
      <c r="B758" s="237"/>
      <c r="C758" s="237"/>
      <c r="D758" s="237"/>
      <c r="E758" s="237"/>
      <c r="F758" s="237"/>
      <c r="G758" s="237"/>
      <c r="H758" s="237"/>
      <c r="I758" s="237"/>
      <c r="J758" s="212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  <c r="AA758" s="237"/>
      <c r="AB758" s="237"/>
      <c r="AC758" s="237"/>
    </row>
    <row r="759">
      <c r="A759" s="237"/>
      <c r="B759" s="237"/>
      <c r="C759" s="237"/>
      <c r="D759" s="237"/>
      <c r="E759" s="237"/>
      <c r="F759" s="237"/>
      <c r="G759" s="237"/>
      <c r="H759" s="237"/>
      <c r="I759" s="237"/>
      <c r="J759" s="212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  <c r="AA759" s="237"/>
      <c r="AB759" s="237"/>
      <c r="AC759" s="237"/>
    </row>
    <row r="760">
      <c r="A760" s="237"/>
      <c r="B760" s="237"/>
      <c r="C760" s="237"/>
      <c r="D760" s="237"/>
      <c r="E760" s="237"/>
      <c r="F760" s="237"/>
      <c r="G760" s="237"/>
      <c r="H760" s="237"/>
      <c r="I760" s="237"/>
      <c r="J760" s="212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  <c r="AA760" s="237"/>
      <c r="AB760" s="237"/>
      <c r="AC760" s="237"/>
    </row>
    <row r="761">
      <c r="A761" s="237"/>
      <c r="B761" s="237"/>
      <c r="C761" s="237"/>
      <c r="D761" s="237"/>
      <c r="E761" s="237"/>
      <c r="F761" s="237"/>
      <c r="G761" s="237"/>
      <c r="H761" s="237"/>
      <c r="I761" s="237"/>
      <c r="J761" s="212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  <c r="AA761" s="237"/>
      <c r="AB761" s="237"/>
      <c r="AC761" s="237"/>
    </row>
    <row r="762">
      <c r="A762" s="237"/>
      <c r="B762" s="237"/>
      <c r="C762" s="237"/>
      <c r="D762" s="237"/>
      <c r="E762" s="237"/>
      <c r="F762" s="237"/>
      <c r="G762" s="237"/>
      <c r="H762" s="237"/>
      <c r="I762" s="237"/>
      <c r="J762" s="212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  <c r="AA762" s="237"/>
      <c r="AB762" s="237"/>
      <c r="AC762" s="237"/>
    </row>
    <row r="763">
      <c r="A763" s="237"/>
      <c r="B763" s="237"/>
      <c r="C763" s="237"/>
      <c r="D763" s="237"/>
      <c r="E763" s="237"/>
      <c r="F763" s="237"/>
      <c r="G763" s="237"/>
      <c r="H763" s="237"/>
      <c r="I763" s="237"/>
      <c r="J763" s="212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  <c r="AA763" s="237"/>
      <c r="AB763" s="237"/>
      <c r="AC763" s="237"/>
    </row>
    <row r="764">
      <c r="A764" s="237"/>
      <c r="B764" s="237"/>
      <c r="C764" s="237"/>
      <c r="D764" s="237"/>
      <c r="E764" s="237"/>
      <c r="F764" s="237"/>
      <c r="G764" s="237"/>
      <c r="H764" s="237"/>
      <c r="I764" s="237"/>
      <c r="J764" s="212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  <c r="AA764" s="237"/>
      <c r="AB764" s="237"/>
      <c r="AC764" s="237"/>
    </row>
    <row r="765">
      <c r="A765" s="237"/>
      <c r="B765" s="237"/>
      <c r="C765" s="237"/>
      <c r="D765" s="237"/>
      <c r="E765" s="237"/>
      <c r="F765" s="237"/>
      <c r="G765" s="237"/>
      <c r="H765" s="237"/>
      <c r="I765" s="237"/>
      <c r="J765" s="212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  <c r="AA765" s="237"/>
      <c r="AB765" s="237"/>
      <c r="AC765" s="237"/>
    </row>
    <row r="766">
      <c r="A766" s="237"/>
      <c r="B766" s="237"/>
      <c r="C766" s="237"/>
      <c r="D766" s="237"/>
      <c r="E766" s="237"/>
      <c r="F766" s="237"/>
      <c r="G766" s="237"/>
      <c r="H766" s="237"/>
      <c r="I766" s="237"/>
      <c r="J766" s="212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  <c r="AA766" s="237"/>
      <c r="AB766" s="237"/>
      <c r="AC766" s="237"/>
    </row>
    <row r="767">
      <c r="A767" s="237"/>
      <c r="B767" s="237"/>
      <c r="C767" s="237"/>
      <c r="D767" s="237"/>
      <c r="E767" s="237"/>
      <c r="F767" s="237"/>
      <c r="G767" s="237"/>
      <c r="H767" s="237"/>
      <c r="I767" s="237"/>
      <c r="J767" s="212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  <c r="AA767" s="237"/>
      <c r="AB767" s="237"/>
      <c r="AC767" s="237"/>
    </row>
    <row r="768">
      <c r="A768" s="237"/>
      <c r="B768" s="237"/>
      <c r="C768" s="237"/>
      <c r="D768" s="237"/>
      <c r="E768" s="237"/>
      <c r="F768" s="237"/>
      <c r="G768" s="237"/>
      <c r="H768" s="237"/>
      <c r="I768" s="237"/>
      <c r="J768" s="212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  <c r="AA768" s="237"/>
      <c r="AB768" s="237"/>
      <c r="AC768" s="237"/>
    </row>
    <row r="769">
      <c r="A769" s="237"/>
      <c r="B769" s="237"/>
      <c r="C769" s="237"/>
      <c r="D769" s="237"/>
      <c r="E769" s="237"/>
      <c r="F769" s="237"/>
      <c r="G769" s="237"/>
      <c r="H769" s="237"/>
      <c r="I769" s="237"/>
      <c r="J769" s="212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  <c r="AA769" s="237"/>
      <c r="AB769" s="237"/>
      <c r="AC769" s="237"/>
    </row>
    <row r="770">
      <c r="A770" s="237"/>
      <c r="B770" s="237"/>
      <c r="C770" s="237"/>
      <c r="D770" s="237"/>
      <c r="E770" s="237"/>
      <c r="F770" s="237"/>
      <c r="G770" s="237"/>
      <c r="H770" s="237"/>
      <c r="I770" s="237"/>
      <c r="J770" s="212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  <c r="AA770" s="237"/>
      <c r="AB770" s="237"/>
      <c r="AC770" s="237"/>
    </row>
    <row r="771">
      <c r="A771" s="237"/>
      <c r="B771" s="237"/>
      <c r="C771" s="237"/>
      <c r="D771" s="237"/>
      <c r="E771" s="237"/>
      <c r="F771" s="237"/>
      <c r="G771" s="237"/>
      <c r="H771" s="237"/>
      <c r="I771" s="237"/>
      <c r="J771" s="212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  <c r="AA771" s="237"/>
      <c r="AB771" s="237"/>
      <c r="AC771" s="237"/>
    </row>
    <row r="772">
      <c r="A772" s="237"/>
      <c r="B772" s="237"/>
      <c r="C772" s="237"/>
      <c r="D772" s="237"/>
      <c r="E772" s="237"/>
      <c r="F772" s="237"/>
      <c r="G772" s="237"/>
      <c r="H772" s="237"/>
      <c r="I772" s="237"/>
      <c r="J772" s="212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  <c r="AA772" s="237"/>
      <c r="AB772" s="237"/>
      <c r="AC772" s="237"/>
    </row>
    <row r="773">
      <c r="A773" s="237"/>
      <c r="B773" s="237"/>
      <c r="C773" s="237"/>
      <c r="D773" s="237"/>
      <c r="E773" s="237"/>
      <c r="F773" s="237"/>
      <c r="G773" s="237"/>
      <c r="H773" s="237"/>
      <c r="I773" s="237"/>
      <c r="J773" s="212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  <c r="AA773" s="237"/>
      <c r="AB773" s="237"/>
      <c r="AC773" s="237"/>
    </row>
    <row r="774">
      <c r="A774" s="237"/>
      <c r="B774" s="237"/>
      <c r="C774" s="237"/>
      <c r="D774" s="237"/>
      <c r="E774" s="237"/>
      <c r="F774" s="237"/>
      <c r="G774" s="237"/>
      <c r="H774" s="237"/>
      <c r="I774" s="237"/>
      <c r="J774" s="212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  <c r="AA774" s="237"/>
      <c r="AB774" s="237"/>
      <c r="AC774" s="237"/>
    </row>
    <row r="775">
      <c r="A775" s="237"/>
      <c r="B775" s="237"/>
      <c r="C775" s="237"/>
      <c r="D775" s="237"/>
      <c r="E775" s="237"/>
      <c r="F775" s="237"/>
      <c r="G775" s="237"/>
      <c r="H775" s="237"/>
      <c r="I775" s="237"/>
      <c r="J775" s="212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  <c r="AA775" s="237"/>
      <c r="AB775" s="237"/>
      <c r="AC775" s="237"/>
    </row>
    <row r="776">
      <c r="A776" s="237"/>
      <c r="B776" s="237"/>
      <c r="C776" s="237"/>
      <c r="D776" s="237"/>
      <c r="E776" s="237"/>
      <c r="F776" s="237"/>
      <c r="G776" s="237"/>
      <c r="H776" s="237"/>
      <c r="I776" s="237"/>
      <c r="J776" s="212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  <c r="AA776" s="237"/>
      <c r="AB776" s="237"/>
      <c r="AC776" s="237"/>
    </row>
    <row r="777">
      <c r="A777" s="237"/>
      <c r="B777" s="237"/>
      <c r="C777" s="237"/>
      <c r="D777" s="237"/>
      <c r="E777" s="237"/>
      <c r="F777" s="237"/>
      <c r="G777" s="237"/>
      <c r="H777" s="237"/>
      <c r="I777" s="237"/>
      <c r="J777" s="212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  <c r="AA777" s="237"/>
      <c r="AB777" s="237"/>
      <c r="AC777" s="237"/>
    </row>
    <row r="778">
      <c r="A778" s="237"/>
      <c r="B778" s="237"/>
      <c r="C778" s="237"/>
      <c r="D778" s="237"/>
      <c r="E778" s="237"/>
      <c r="F778" s="237"/>
      <c r="G778" s="237"/>
      <c r="H778" s="237"/>
      <c r="I778" s="237"/>
      <c r="J778" s="212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  <c r="AA778" s="237"/>
      <c r="AB778" s="237"/>
      <c r="AC778" s="237"/>
    </row>
    <row r="779">
      <c r="A779" s="237"/>
      <c r="B779" s="237"/>
      <c r="C779" s="237"/>
      <c r="D779" s="237"/>
      <c r="E779" s="237"/>
      <c r="F779" s="237"/>
      <c r="G779" s="237"/>
      <c r="H779" s="237"/>
      <c r="I779" s="237"/>
      <c r="J779" s="212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  <c r="AA779" s="237"/>
      <c r="AB779" s="237"/>
      <c r="AC779" s="237"/>
    </row>
    <row r="780">
      <c r="A780" s="237"/>
      <c r="B780" s="237"/>
      <c r="C780" s="237"/>
      <c r="D780" s="237"/>
      <c r="E780" s="237"/>
      <c r="F780" s="237"/>
      <c r="G780" s="237"/>
      <c r="H780" s="237"/>
      <c r="I780" s="237"/>
      <c r="J780" s="212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  <c r="AA780" s="237"/>
      <c r="AB780" s="237"/>
      <c r="AC780" s="237"/>
    </row>
    <row r="781">
      <c r="A781" s="237"/>
      <c r="B781" s="237"/>
      <c r="C781" s="237"/>
      <c r="D781" s="237"/>
      <c r="E781" s="237"/>
      <c r="F781" s="237"/>
      <c r="G781" s="237"/>
      <c r="H781" s="237"/>
      <c r="I781" s="237"/>
      <c r="J781" s="212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  <c r="AA781" s="237"/>
      <c r="AB781" s="237"/>
      <c r="AC781" s="237"/>
    </row>
    <row r="782">
      <c r="A782" s="237"/>
      <c r="B782" s="237"/>
      <c r="C782" s="237"/>
      <c r="D782" s="237"/>
      <c r="E782" s="237"/>
      <c r="F782" s="237"/>
      <c r="G782" s="237"/>
      <c r="H782" s="237"/>
      <c r="I782" s="237"/>
      <c r="J782" s="212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  <c r="AA782" s="237"/>
      <c r="AB782" s="237"/>
      <c r="AC782" s="237"/>
    </row>
    <row r="783">
      <c r="A783" s="237"/>
      <c r="B783" s="237"/>
      <c r="C783" s="237"/>
      <c r="D783" s="237"/>
      <c r="E783" s="237"/>
      <c r="F783" s="237"/>
      <c r="G783" s="237"/>
      <c r="H783" s="237"/>
      <c r="I783" s="237"/>
      <c r="J783" s="212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  <c r="AA783" s="237"/>
      <c r="AB783" s="237"/>
      <c r="AC783" s="237"/>
    </row>
    <row r="784">
      <c r="A784" s="237"/>
      <c r="B784" s="237"/>
      <c r="C784" s="237"/>
      <c r="D784" s="237"/>
      <c r="E784" s="237"/>
      <c r="F784" s="237"/>
      <c r="G784" s="237"/>
      <c r="H784" s="237"/>
      <c r="I784" s="237"/>
      <c r="J784" s="212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  <c r="AA784" s="237"/>
      <c r="AB784" s="237"/>
      <c r="AC784" s="237"/>
    </row>
    <row r="785">
      <c r="A785" s="237"/>
      <c r="B785" s="237"/>
      <c r="C785" s="237"/>
      <c r="D785" s="237"/>
      <c r="E785" s="237"/>
      <c r="F785" s="237"/>
      <c r="G785" s="237"/>
      <c r="H785" s="237"/>
      <c r="I785" s="237"/>
      <c r="J785" s="212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  <c r="AA785" s="237"/>
      <c r="AB785" s="237"/>
      <c r="AC785" s="237"/>
    </row>
    <row r="786">
      <c r="A786" s="237"/>
      <c r="B786" s="237"/>
      <c r="C786" s="237"/>
      <c r="D786" s="237"/>
      <c r="E786" s="237"/>
      <c r="F786" s="237"/>
      <c r="G786" s="237"/>
      <c r="H786" s="237"/>
      <c r="I786" s="237"/>
      <c r="J786" s="212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  <c r="AA786" s="237"/>
      <c r="AB786" s="237"/>
      <c r="AC786" s="237"/>
    </row>
    <row r="787">
      <c r="A787" s="237"/>
      <c r="B787" s="237"/>
      <c r="C787" s="237"/>
      <c r="D787" s="237"/>
      <c r="E787" s="237"/>
      <c r="F787" s="237"/>
      <c r="G787" s="237"/>
      <c r="H787" s="237"/>
      <c r="I787" s="237"/>
      <c r="J787" s="212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  <c r="AA787" s="237"/>
      <c r="AB787" s="237"/>
      <c r="AC787" s="237"/>
    </row>
    <row r="788">
      <c r="A788" s="237"/>
      <c r="B788" s="237"/>
      <c r="C788" s="237"/>
      <c r="D788" s="237"/>
      <c r="E788" s="237"/>
      <c r="F788" s="237"/>
      <c r="G788" s="237"/>
      <c r="H788" s="237"/>
      <c r="I788" s="237"/>
      <c r="J788" s="212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  <c r="AA788" s="237"/>
      <c r="AB788" s="237"/>
      <c r="AC788" s="237"/>
    </row>
    <row r="789">
      <c r="A789" s="237"/>
      <c r="B789" s="237"/>
      <c r="C789" s="237"/>
      <c r="D789" s="237"/>
      <c r="E789" s="237"/>
      <c r="F789" s="237"/>
      <c r="G789" s="237"/>
      <c r="H789" s="237"/>
      <c r="I789" s="237"/>
      <c r="J789" s="212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  <c r="AA789" s="237"/>
      <c r="AB789" s="237"/>
      <c r="AC789" s="237"/>
    </row>
    <row r="790">
      <c r="A790" s="237"/>
      <c r="B790" s="237"/>
      <c r="C790" s="237"/>
      <c r="D790" s="237"/>
      <c r="E790" s="237"/>
      <c r="F790" s="237"/>
      <c r="G790" s="237"/>
      <c r="H790" s="237"/>
      <c r="I790" s="237"/>
      <c r="J790" s="212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  <c r="AA790" s="237"/>
      <c r="AB790" s="237"/>
      <c r="AC790" s="237"/>
    </row>
    <row r="791">
      <c r="A791" s="237"/>
      <c r="B791" s="237"/>
      <c r="C791" s="237"/>
      <c r="D791" s="237"/>
      <c r="E791" s="237"/>
      <c r="F791" s="237"/>
      <c r="G791" s="237"/>
      <c r="H791" s="237"/>
      <c r="I791" s="237"/>
      <c r="J791" s="212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  <c r="AA791" s="237"/>
      <c r="AB791" s="237"/>
      <c r="AC791" s="237"/>
    </row>
    <row r="792">
      <c r="A792" s="237"/>
      <c r="B792" s="237"/>
      <c r="C792" s="237"/>
      <c r="D792" s="237"/>
      <c r="E792" s="237"/>
      <c r="F792" s="237"/>
      <c r="G792" s="237"/>
      <c r="H792" s="237"/>
      <c r="I792" s="237"/>
      <c r="J792" s="212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  <c r="AA792" s="237"/>
      <c r="AB792" s="237"/>
      <c r="AC792" s="237"/>
    </row>
    <row r="793">
      <c r="A793" s="237"/>
      <c r="B793" s="237"/>
      <c r="C793" s="237"/>
      <c r="D793" s="237"/>
      <c r="E793" s="237"/>
      <c r="F793" s="237"/>
      <c r="G793" s="237"/>
      <c r="H793" s="237"/>
      <c r="I793" s="237"/>
      <c r="J793" s="212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  <c r="AA793" s="237"/>
      <c r="AB793" s="237"/>
      <c r="AC793" s="237"/>
    </row>
    <row r="794">
      <c r="A794" s="237"/>
      <c r="B794" s="237"/>
      <c r="C794" s="237"/>
      <c r="D794" s="237"/>
      <c r="E794" s="237"/>
      <c r="F794" s="237"/>
      <c r="G794" s="237"/>
      <c r="H794" s="237"/>
      <c r="I794" s="237"/>
      <c r="J794" s="212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  <c r="AA794" s="237"/>
      <c r="AB794" s="237"/>
      <c r="AC794" s="237"/>
    </row>
    <row r="795">
      <c r="A795" s="237"/>
      <c r="B795" s="237"/>
      <c r="C795" s="237"/>
      <c r="D795" s="237"/>
      <c r="E795" s="237"/>
      <c r="F795" s="237"/>
      <c r="G795" s="237"/>
      <c r="H795" s="237"/>
      <c r="I795" s="237"/>
      <c r="J795" s="212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  <c r="AA795" s="237"/>
      <c r="AB795" s="237"/>
      <c r="AC795" s="237"/>
    </row>
    <row r="796">
      <c r="A796" s="237"/>
      <c r="B796" s="237"/>
      <c r="C796" s="237"/>
      <c r="D796" s="237"/>
      <c r="E796" s="237"/>
      <c r="F796" s="237"/>
      <c r="G796" s="237"/>
      <c r="H796" s="237"/>
      <c r="I796" s="237"/>
      <c r="J796" s="212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  <c r="AA796" s="237"/>
      <c r="AB796" s="237"/>
      <c r="AC796" s="237"/>
    </row>
    <row r="797">
      <c r="A797" s="237"/>
      <c r="B797" s="237"/>
      <c r="C797" s="237"/>
      <c r="D797" s="237"/>
      <c r="E797" s="237"/>
      <c r="F797" s="237"/>
      <c r="G797" s="237"/>
      <c r="H797" s="237"/>
      <c r="I797" s="237"/>
      <c r="J797" s="212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  <c r="AA797" s="237"/>
      <c r="AB797" s="237"/>
      <c r="AC797" s="237"/>
    </row>
    <row r="798">
      <c r="A798" s="237"/>
      <c r="B798" s="237"/>
      <c r="C798" s="237"/>
      <c r="D798" s="237"/>
      <c r="E798" s="237"/>
      <c r="F798" s="237"/>
      <c r="G798" s="237"/>
      <c r="H798" s="237"/>
      <c r="I798" s="237"/>
      <c r="J798" s="212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  <c r="AA798" s="237"/>
      <c r="AB798" s="237"/>
      <c r="AC798" s="237"/>
    </row>
  </sheetData>
  <mergeCells count="24">
    <mergeCell ref="G1:G3"/>
    <mergeCell ref="I1:I4"/>
    <mergeCell ref="K1:K4"/>
    <mergeCell ref="M1:M4"/>
    <mergeCell ref="O1:O4"/>
    <mergeCell ref="Q1:Q4"/>
    <mergeCell ref="S1:S4"/>
    <mergeCell ref="G4:H4"/>
    <mergeCell ref="P5:Q5"/>
    <mergeCell ref="R6:T6"/>
    <mergeCell ref="E5:E6"/>
    <mergeCell ref="F5:F6"/>
    <mergeCell ref="G5:G6"/>
    <mergeCell ref="H5:I5"/>
    <mergeCell ref="J5:K5"/>
    <mergeCell ref="L5:M5"/>
    <mergeCell ref="N5:O5"/>
    <mergeCell ref="B3:C3"/>
    <mergeCell ref="E3:F3"/>
    <mergeCell ref="B4:C4"/>
    <mergeCell ref="E4:F4"/>
    <mergeCell ref="B5:B6"/>
    <mergeCell ref="C5:C6"/>
    <mergeCell ref="D5:D6"/>
  </mergeCells>
  <conditionalFormatting sqref="R1">
    <cfRule type="expression" dxfId="0" priority="1" stopIfTrue="1">
      <formula>$T$3&lt;&gt;$V$3</formula>
    </cfRule>
  </conditionalFormatting>
  <conditionalFormatting sqref="T1">
    <cfRule type="expression" dxfId="0" priority="2" stopIfTrue="1">
      <formula>$T$3&lt;&gt;$V$3</formula>
    </cfRule>
  </conditionalFormatting>
  <conditionalFormatting sqref="R2:R4">
    <cfRule type="expression" dxfId="0" priority="3" stopIfTrue="1">
      <formula>$T$3&lt;&gt;$V$3</formula>
    </cfRule>
  </conditionalFormatting>
  <conditionalFormatting sqref="T2">
    <cfRule type="expression" dxfId="0" priority="4" stopIfTrue="1">
      <formula>$T$3&lt;&gt;$V$3</formula>
    </cfRule>
  </conditionalFormatting>
  <conditionalFormatting sqref="T3">
    <cfRule type="expression" dxfId="0" priority="5" stopIfTrue="1">
      <formula>$T$3&lt;&gt;$V$3</formula>
    </cfRule>
  </conditionalFormatting>
  <dataValidations>
    <dataValidation type="list" allowBlank="1" showErrorMessage="1" sqref="R10:T12 R14:T28 R30:T34">
      <formula1>"OK,NG"</formula1>
    </dataValidation>
    <dataValidation type="list" allowBlank="1" sqref="F10:F12 F14:F28 F30:F34">
      <formula1>"High,Medium,Low"</formula1>
    </dataValidation>
    <dataValidation type="list" allowBlank="1" showErrorMessage="1" sqref="J10:J12 L10:L12 N10:N12 J14:J28 L14:L28 N14:N28 J30:J34 L30:L34 N30:N34">
      <formula1>"OK,NG,Untested,N/A"</formula1>
    </dataValidation>
  </dataValidations>
  <printOptions horizontalCentered="1"/>
  <pageMargins bottom="0.3937007874015748" footer="0.0" header="0.0" left="0.3937007874015748" right="0.3937007874015748" top="0.7874015748031497"/>
  <pageSetup fitToHeight="0" paperSize="9" orientation="landscape"/>
  <headerFooter>
    <oddFooter>&amp;LDate: &amp;D &amp;T&amp;C&amp;F&amp;R Page: &amp;P 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6" width="11.43"/>
  </cols>
  <sheetData>
    <row r="1" ht="15.75" customHeight="1">
      <c r="A1" s="272"/>
      <c r="B1" s="273" t="s">
        <v>120</v>
      </c>
      <c r="C1" s="274"/>
      <c r="D1" s="274"/>
      <c r="E1" s="274"/>
      <c r="F1" s="274"/>
      <c r="G1" s="274"/>
      <c r="H1" s="274"/>
      <c r="I1" s="274"/>
      <c r="J1" s="274"/>
      <c r="K1" s="275"/>
      <c r="L1" s="274"/>
      <c r="M1" s="274"/>
      <c r="N1" s="275"/>
      <c r="O1" s="276"/>
      <c r="P1" s="275"/>
      <c r="Q1" s="275"/>
      <c r="R1" s="276"/>
      <c r="S1" s="276"/>
      <c r="T1" s="276"/>
      <c r="U1" s="276"/>
      <c r="V1" s="276"/>
    </row>
    <row r="2" ht="12.75" customHeight="1">
      <c r="A2" s="277"/>
      <c r="B2" s="278" t="s">
        <v>121</v>
      </c>
      <c r="C2" s="279"/>
      <c r="D2" s="279"/>
      <c r="E2" s="279"/>
      <c r="F2" s="279"/>
      <c r="G2" s="279"/>
      <c r="H2" s="279"/>
      <c r="I2" s="279"/>
      <c r="J2" s="278" t="s">
        <v>122</v>
      </c>
      <c r="K2" s="279"/>
      <c r="L2" s="279"/>
      <c r="M2" s="279"/>
      <c r="N2" s="279"/>
      <c r="O2" s="279"/>
      <c r="P2" s="279"/>
      <c r="Q2" s="279"/>
      <c r="R2" s="278" t="s">
        <v>123</v>
      </c>
      <c r="S2" s="279"/>
      <c r="T2" s="279"/>
      <c r="U2" s="279"/>
      <c r="V2" s="279"/>
    </row>
    <row r="3" ht="12.75" customHeight="1">
      <c r="A3" s="280"/>
      <c r="B3" s="279"/>
      <c r="C3" s="279"/>
      <c r="D3" s="279"/>
      <c r="E3" s="279"/>
      <c r="F3" s="279"/>
      <c r="G3" s="279"/>
      <c r="H3" s="279"/>
      <c r="I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</row>
    <row r="4" ht="12.75" customHeight="1">
      <c r="A4" s="277"/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</row>
    <row r="5" ht="12.75" customHeight="1">
      <c r="A5" s="277"/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</row>
    <row r="6" ht="12.75" customHeight="1">
      <c r="A6" s="277"/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</row>
    <row r="7" ht="12.75" customHeight="1">
      <c r="A7" s="280"/>
      <c r="B7" s="279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</row>
    <row r="8" ht="12.75" customHeight="1">
      <c r="A8" s="277"/>
      <c r="B8" s="279"/>
      <c r="C8" s="279"/>
      <c r="D8" s="279"/>
      <c r="E8" s="279"/>
      <c r="F8" s="279"/>
      <c r="G8" s="279"/>
      <c r="H8" s="281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</row>
    <row r="9" ht="12.75" customHeight="1">
      <c r="A9" s="277"/>
      <c r="B9" s="279"/>
      <c r="C9" s="279"/>
      <c r="D9" s="279"/>
      <c r="E9" s="279"/>
      <c r="F9" s="279"/>
      <c r="G9" s="279"/>
      <c r="H9" s="282"/>
      <c r="I9" s="279"/>
      <c r="J9" s="279"/>
      <c r="K9" s="279"/>
      <c r="L9" s="279"/>
      <c r="M9" s="279"/>
      <c r="N9" s="281"/>
      <c r="S9" s="279"/>
      <c r="T9" s="279"/>
      <c r="U9" s="279"/>
      <c r="V9" s="279"/>
    </row>
    <row r="10" ht="12.75" customHeight="1">
      <c r="A10" s="277"/>
      <c r="B10" s="279"/>
      <c r="C10" s="279"/>
      <c r="D10" s="279"/>
      <c r="E10" s="279"/>
      <c r="F10" s="279"/>
      <c r="G10" s="279"/>
      <c r="H10" s="282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</row>
    <row r="11" ht="12.75" customHeight="1">
      <c r="A11" s="277"/>
      <c r="B11" s="279"/>
      <c r="C11" s="279"/>
      <c r="D11" s="279"/>
      <c r="E11" s="279"/>
      <c r="F11" s="279"/>
      <c r="G11" s="279"/>
      <c r="H11" s="282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</row>
    <row r="12" ht="12.75" customHeight="1">
      <c r="A12" s="277"/>
      <c r="B12" s="279"/>
      <c r="C12" s="279"/>
      <c r="D12" s="279"/>
      <c r="E12" s="279"/>
      <c r="F12" s="279"/>
      <c r="G12" s="279"/>
      <c r="H12" s="282"/>
      <c r="I12" s="279"/>
      <c r="J12" s="279"/>
      <c r="K12" s="279"/>
      <c r="L12" s="279"/>
      <c r="M12" s="279"/>
      <c r="N12" s="281"/>
      <c r="R12" s="279"/>
      <c r="S12" s="279"/>
      <c r="T12" s="279"/>
      <c r="U12" s="279"/>
      <c r="V12" s="279"/>
    </row>
    <row r="13" ht="12.75" customHeight="1">
      <c r="A13" s="277"/>
      <c r="B13" s="279"/>
      <c r="C13" s="279"/>
      <c r="D13" s="279"/>
      <c r="E13" s="279"/>
      <c r="F13" s="279"/>
      <c r="G13" s="279"/>
      <c r="H13" s="282"/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79"/>
      <c r="U13" s="279"/>
      <c r="V13" s="279"/>
    </row>
    <row r="14" ht="12.75" customHeight="1">
      <c r="A14" s="277"/>
      <c r="B14" s="279"/>
      <c r="C14" s="279"/>
      <c r="D14" s="279"/>
      <c r="E14" s="279"/>
      <c r="F14" s="279"/>
      <c r="G14" s="279"/>
      <c r="H14" s="282"/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</row>
    <row r="15" ht="12.75" customHeight="1">
      <c r="A15" s="277"/>
      <c r="B15" s="279"/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83"/>
      <c r="S15" s="279"/>
      <c r="T15" s="283"/>
      <c r="U15" s="283"/>
      <c r="V15" s="279"/>
    </row>
    <row r="16" ht="12.75" customHeight="1">
      <c r="A16" s="277"/>
      <c r="B16" s="279"/>
      <c r="C16" s="279"/>
      <c r="D16" s="279"/>
      <c r="E16" s="279"/>
      <c r="F16" s="279"/>
      <c r="G16" s="279"/>
      <c r="H16" s="281"/>
      <c r="J16" s="279"/>
      <c r="K16" s="281"/>
      <c r="N16" s="281"/>
      <c r="S16" s="281"/>
    </row>
    <row r="17" ht="12.75" customHeight="1">
      <c r="A17" s="277"/>
      <c r="B17" s="279"/>
      <c r="C17" s="279"/>
      <c r="D17" s="279"/>
      <c r="E17" s="279"/>
      <c r="F17" s="279"/>
      <c r="G17" s="279"/>
      <c r="H17" s="281"/>
      <c r="J17" s="279"/>
      <c r="K17" s="281"/>
      <c r="N17" s="281"/>
      <c r="S17" s="281"/>
    </row>
    <row r="18" ht="12.75" customHeight="1">
      <c r="A18" s="277"/>
      <c r="B18" s="279"/>
      <c r="C18" s="279"/>
      <c r="D18" s="279"/>
      <c r="E18" s="279"/>
      <c r="F18" s="279"/>
      <c r="G18" s="279"/>
      <c r="H18" s="282"/>
      <c r="I18" s="279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  <c r="V18" s="279"/>
    </row>
    <row r="19" ht="12.75" customHeight="1">
      <c r="A19" s="280"/>
      <c r="B19" s="279"/>
      <c r="C19" s="279"/>
      <c r="D19" s="279"/>
      <c r="E19" s="279"/>
      <c r="F19" s="279"/>
      <c r="G19" s="279"/>
      <c r="H19" s="282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</row>
    <row r="20" ht="12.75" customHeight="1">
      <c r="A20" s="277"/>
      <c r="B20" s="278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  <c r="V20" s="279"/>
    </row>
    <row r="21" ht="12.75" customHeight="1">
      <c r="A21" s="284"/>
      <c r="B21" s="279"/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279"/>
      <c r="V21" s="279"/>
    </row>
    <row r="22" ht="12.75" customHeight="1">
      <c r="A22" s="284"/>
      <c r="B22" s="279"/>
      <c r="C22" s="279"/>
      <c r="D22" s="279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79"/>
      <c r="P22" s="279"/>
      <c r="Q22" s="279"/>
      <c r="R22" s="279"/>
      <c r="S22" s="279"/>
      <c r="T22" s="279"/>
      <c r="U22" s="279"/>
      <c r="V22" s="279"/>
    </row>
    <row r="23" ht="12.75" customHeight="1">
      <c r="A23" s="284"/>
      <c r="B23" s="279"/>
      <c r="C23" s="279"/>
      <c r="D23" s="279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</row>
    <row r="24" ht="12.75" customHeight="1">
      <c r="A24" s="285"/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</row>
    <row r="25" ht="12.75" customHeight="1">
      <c r="A25" s="284"/>
      <c r="B25" s="279"/>
      <c r="C25" s="279"/>
      <c r="D25" s="279"/>
      <c r="E25" s="279"/>
      <c r="F25" s="279"/>
      <c r="G25" s="279"/>
      <c r="H25" s="282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279"/>
      <c r="V25" s="279"/>
    </row>
    <row r="26" ht="12.75" customHeight="1">
      <c r="A26" s="284"/>
      <c r="B26" s="279"/>
      <c r="C26" s="279"/>
      <c r="D26" s="279"/>
      <c r="E26" s="279"/>
      <c r="F26" s="279"/>
      <c r="G26" s="279"/>
      <c r="H26" s="282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</row>
    <row r="27" ht="12.75" customHeight="1">
      <c r="A27" s="284"/>
      <c r="B27" s="279"/>
      <c r="C27" s="279"/>
      <c r="D27" s="279"/>
      <c r="E27" s="279"/>
      <c r="F27" s="279"/>
      <c r="G27" s="279"/>
      <c r="H27" s="282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</row>
    <row r="28" ht="12.75" customHeight="1">
      <c r="A28" s="284"/>
      <c r="B28" s="279"/>
      <c r="C28" s="279"/>
      <c r="D28" s="279"/>
      <c r="E28" s="279"/>
      <c r="F28" s="279"/>
      <c r="G28" s="279"/>
      <c r="H28" s="282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</row>
    <row r="29" ht="12.75" customHeight="1">
      <c r="A29" s="284"/>
      <c r="B29" s="279"/>
      <c r="C29" s="279"/>
      <c r="D29" s="279"/>
      <c r="E29" s="279"/>
      <c r="F29" s="279"/>
      <c r="G29" s="279"/>
      <c r="H29" s="282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</row>
    <row r="30" ht="12.75" customHeight="1">
      <c r="A30" s="284"/>
      <c r="B30" s="279"/>
      <c r="C30" s="279"/>
      <c r="D30" s="279"/>
      <c r="E30" s="279"/>
      <c r="F30" s="279"/>
      <c r="G30" s="279"/>
      <c r="H30" s="282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</row>
    <row r="31" ht="12.75" customHeight="1">
      <c r="A31" s="284"/>
      <c r="B31" s="286"/>
      <c r="C31" s="287"/>
      <c r="D31" s="287"/>
      <c r="E31" s="287"/>
      <c r="F31" s="287"/>
      <c r="G31" s="287"/>
      <c r="H31" s="282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</row>
    <row r="32" ht="12.75" customHeight="1">
      <c r="A32" s="279"/>
      <c r="B32" s="279"/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</row>
    <row r="33" ht="12.75" customHeight="1">
      <c r="A33" s="279"/>
      <c r="B33" s="279"/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</row>
    <row r="34" ht="12.75" customHeight="1">
      <c r="A34" s="279"/>
      <c r="B34" s="279"/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</row>
    <row r="35" ht="12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</row>
    <row r="36" ht="12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</row>
    <row r="37" ht="12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</row>
    <row r="38" ht="12.75" customHeight="1">
      <c r="A38" s="277"/>
      <c r="B38" s="278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19"/>
      <c r="X38" s="19"/>
      <c r="Y38" s="19"/>
      <c r="Z38" s="19"/>
    </row>
    <row r="39" ht="12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</row>
    <row r="40" ht="12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</row>
    <row r="41" ht="12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</row>
    <row r="42" ht="12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</row>
    <row r="43" ht="12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</row>
    <row r="44" ht="12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</row>
    <row r="45" ht="12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</row>
    <row r="46" ht="12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</row>
    <row r="47" ht="12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</row>
    <row r="48" ht="12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</row>
    <row r="49" ht="12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</row>
    <row r="50" ht="12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</row>
    <row r="51" ht="12.75" customHeight="1">
      <c r="A51" s="278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</row>
    <row r="52" ht="12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</row>
    <row r="53" ht="12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</row>
    <row r="54" ht="12.75" customHeight="1">
      <c r="A54" s="279"/>
      <c r="B54" s="278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</row>
    <row r="55" ht="12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</row>
    <row r="56" ht="12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</row>
    <row r="57" ht="12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</row>
    <row r="58" ht="12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</row>
    <row r="59" ht="12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</row>
    <row r="60" ht="12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</row>
    <row r="61" ht="12.75" customHeight="1">
      <c r="A61" s="278" t="s">
        <v>124</v>
      </c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</row>
    <row r="62" ht="12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</row>
    <row r="63" ht="12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</row>
    <row r="64" ht="12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</row>
    <row r="65" ht="12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</row>
    <row r="66" ht="12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</row>
    <row r="67" ht="12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</row>
    <row r="68" ht="12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</row>
    <row r="69" ht="12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</row>
    <row r="70" ht="12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</row>
    <row r="71" ht="12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</row>
    <row r="72" ht="12.75" customHeight="1">
      <c r="A72" s="279"/>
      <c r="B72" s="278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</row>
    <row r="73" ht="12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</row>
    <row r="74" ht="12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</row>
    <row r="75" ht="12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</row>
    <row r="76" ht="12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</row>
    <row r="77" ht="12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</row>
    <row r="78" ht="12.75" customHeight="1">
      <c r="A78" s="278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</row>
    <row r="79" ht="12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</row>
    <row r="80" ht="12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</row>
    <row r="81" ht="12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</row>
    <row r="82" ht="12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</row>
    <row r="83" ht="12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</row>
    <row r="84" ht="12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</row>
    <row r="85" ht="12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</row>
    <row r="86" ht="12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</row>
    <row r="87" ht="12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</row>
    <row r="88" ht="12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</row>
    <row r="89" ht="12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</row>
    <row r="90" ht="12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</row>
    <row r="91" ht="12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</row>
    <row r="92" ht="12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</row>
    <row r="93" ht="12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</row>
    <row r="94" ht="12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</row>
    <row r="95" ht="12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</row>
    <row r="96" ht="12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</row>
    <row r="97" ht="12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</row>
    <row r="98" ht="12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</row>
    <row r="99" ht="12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</row>
    <row r="100" ht="12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</row>
    <row r="101" ht="12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</row>
    <row r="102" ht="12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</row>
    <row r="103" ht="12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</row>
    <row r="104" ht="12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</row>
    <row r="105" ht="12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</row>
    <row r="106" ht="12.75" customHeight="1">
      <c r="A106" s="278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</row>
    <row r="107" ht="12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</row>
    <row r="108" ht="12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</row>
    <row r="109" ht="12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</row>
    <row r="110" ht="12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</row>
    <row r="111" ht="12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</row>
    <row r="112" ht="12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</row>
    <row r="113" ht="12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</row>
    <row r="114" ht="12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</row>
    <row r="115" ht="12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</row>
    <row r="116" ht="12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</row>
    <row r="117" ht="12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</row>
    <row r="118" ht="12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</row>
    <row r="119" ht="12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</row>
    <row r="120" ht="12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</row>
    <row r="121" ht="12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</row>
    <row r="122" ht="12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</row>
    <row r="123" ht="12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</row>
    <row r="124" ht="12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</row>
    <row r="125" ht="12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</row>
    <row r="126" ht="12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</row>
    <row r="127" ht="12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</row>
    <row r="128" ht="12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</row>
    <row r="129" ht="12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</row>
    <row r="130" ht="12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</row>
    <row r="131" ht="12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</row>
    <row r="132" ht="12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</row>
    <row r="133" ht="12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</row>
    <row r="134" ht="12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</row>
    <row r="135" ht="12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</row>
    <row r="136" ht="12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</row>
    <row r="137" ht="12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</row>
    <row r="138" ht="12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</row>
    <row r="139" ht="12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</row>
    <row r="140" ht="12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</row>
    <row r="141" ht="12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</row>
    <row r="142" ht="12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</row>
    <row r="143" ht="12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</row>
    <row r="144" ht="12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</row>
    <row r="145" ht="12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</row>
    <row r="146" ht="12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</row>
    <row r="147" ht="12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</row>
    <row r="148" ht="12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</row>
    <row r="149" ht="12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</row>
    <row r="150" ht="12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</row>
    <row r="151" ht="12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</row>
    <row r="152" ht="12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</row>
    <row r="153" ht="12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</row>
    <row r="154" ht="12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</row>
    <row r="155" ht="12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</row>
    <row r="156" ht="12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</row>
    <row r="157" ht="12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</row>
    <row r="158" ht="12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</row>
    <row r="159" ht="12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</row>
    <row r="160" ht="12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</row>
    <row r="161" ht="12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</row>
    <row r="162" ht="12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</row>
    <row r="163" ht="12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</row>
    <row r="164" ht="12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</row>
    <row r="165" ht="12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</row>
    <row r="166" ht="12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</row>
    <row r="167" ht="12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</row>
    <row r="168" ht="12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</row>
    <row r="169" ht="12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</row>
    <row r="170" ht="12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</row>
    <row r="171" ht="12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</row>
    <row r="172" ht="12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</row>
    <row r="173" ht="12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</row>
    <row r="174" ht="12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</row>
    <row r="175" ht="12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</row>
    <row r="176" ht="12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</row>
    <row r="177" ht="12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</row>
    <row r="178" ht="12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</row>
    <row r="179" ht="12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</row>
    <row r="180" ht="12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</row>
    <row r="181" ht="12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</row>
    <row r="182" ht="12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</row>
    <row r="183" ht="12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</row>
    <row r="184" ht="12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</row>
    <row r="185" ht="12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</row>
    <row r="186" ht="12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</row>
    <row r="187" ht="12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</row>
    <row r="188" ht="12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</row>
    <row r="189" ht="12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</row>
    <row r="190" ht="12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</row>
    <row r="191" ht="12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</row>
    <row r="192" ht="12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</row>
    <row r="193" ht="12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</row>
    <row r="194" ht="12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</row>
    <row r="195" ht="12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</row>
    <row r="196" ht="12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</row>
    <row r="197" ht="12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</row>
    <row r="198" ht="12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</row>
    <row r="199" ht="12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</row>
    <row r="200" ht="12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</row>
    <row r="201" ht="12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</row>
    <row r="202" ht="12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</row>
    <row r="203" ht="12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</row>
    <row r="204" ht="12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</row>
    <row r="205" ht="12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</row>
    <row r="206" ht="12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</row>
    <row r="207" ht="12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</row>
    <row r="208" ht="12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</row>
    <row r="209" ht="12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</row>
    <row r="210" ht="12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</row>
    <row r="211" ht="12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</row>
    <row r="212" ht="12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</row>
    <row r="213" ht="12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</row>
    <row r="214" ht="12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</row>
    <row r="215" ht="12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</row>
    <row r="216" ht="12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</row>
    <row r="217" ht="12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</row>
    <row r="218" ht="12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</row>
    <row r="219" ht="12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</row>
    <row r="220" ht="12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</row>
    <row r="221" ht="12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</row>
    <row r="222" ht="12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</row>
    <row r="223" ht="12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</row>
    <row r="224" ht="12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</row>
    <row r="225" ht="12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</row>
    <row r="226" ht="12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</row>
    <row r="227" ht="12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</row>
    <row r="228" ht="12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</row>
    <row r="229" ht="12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</row>
    <row r="230" ht="12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</row>
    <row r="231" ht="12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</row>
    <row r="232" ht="12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</row>
    <row r="233" ht="12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</row>
    <row r="234" ht="12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</row>
    <row r="235" ht="12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</row>
    <row r="236" ht="12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</row>
    <row r="237" ht="12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</row>
    <row r="238" ht="12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</row>
    <row r="239" ht="12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</row>
    <row r="240" ht="12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</row>
    <row r="241" ht="12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</row>
    <row r="242" ht="12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</row>
    <row r="243" ht="12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</row>
    <row r="244" ht="12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</row>
    <row r="245" ht="12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</row>
    <row r="246" ht="12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</row>
    <row r="247" ht="12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</row>
    <row r="248" ht="12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</row>
    <row r="249" ht="12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</row>
    <row r="250" ht="12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</row>
    <row r="251" ht="12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</row>
    <row r="252" ht="12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</row>
    <row r="253" ht="12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</row>
    <row r="254" ht="12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</row>
    <row r="255" ht="12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</row>
    <row r="256" ht="12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</row>
    <row r="257" ht="12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</row>
    <row r="258" ht="12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</row>
    <row r="259" ht="12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</row>
    <row r="260" ht="12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</row>
    <row r="261" ht="12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</row>
    <row r="262" ht="12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</row>
    <row r="263" ht="12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</row>
    <row r="264" ht="12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</row>
    <row r="265" ht="12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</row>
    <row r="266" ht="12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</row>
    <row r="267" ht="12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</row>
    <row r="268" ht="12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</row>
    <row r="269" ht="12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</row>
    <row r="270" ht="12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</row>
    <row r="271" ht="12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</row>
    <row r="272" ht="12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K17:M17"/>
    <mergeCell ref="N17:R17"/>
    <mergeCell ref="N9:R9"/>
    <mergeCell ref="N12:Q12"/>
    <mergeCell ref="H16:I16"/>
    <mergeCell ref="K16:M16"/>
    <mergeCell ref="N16:R16"/>
    <mergeCell ref="S16:V16"/>
    <mergeCell ref="H17:I17"/>
    <mergeCell ref="S17:V17"/>
  </mergeCells>
  <printOptions/>
  <pageMargins bottom="0.1968503937007874" footer="0.0" header="0.0" left="0.3937007874015748" right="0.3937007874015748" top="0.7086614173228347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